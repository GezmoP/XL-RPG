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LONGR8\OneDrive - PA Consulting Group\Admin\Personal\"/>
    </mc:Choice>
  </mc:AlternateContent>
  <xr:revisionPtr revIDLastSave="525" documentId="8_{4E9E7299-4859-4777-B3AC-605BCDF9FBF2}" xr6:coauthVersionLast="44" xr6:coauthVersionMax="44" xr10:uidLastSave="{E37C7439-4A22-479E-867F-5B98495F9B11}"/>
  <bookViews>
    <workbookView xWindow="-108" yWindow="-108" windowWidth="23256" windowHeight="12576" activeTab="1" xr2:uid="{FF30D28B-C20C-4B1E-A86E-94B56590103E}"/>
  </bookViews>
  <sheets>
    <sheet name="Log" sheetId="4" r:id="rId1"/>
    <sheet name="PlayScreen" sheetId="7" r:id="rId2"/>
    <sheet name="CharacterSheet" sheetId="9" r:id="rId3"/>
    <sheet name="WorldMap" sheetId="8" r:id="rId4"/>
    <sheet name="NPCs" sheetId="2" r:id="rId5"/>
    <sheet name="PlayerSheet" sheetId="1" r:id="rId6"/>
    <sheet name="Rooms" sheetId="6" r:id="rId7"/>
    <sheet name="Items" sheetId="3"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0" i="3" l="1"/>
  <c r="H18" i="3" l="1"/>
  <c r="H16" i="3"/>
  <c r="H15" i="3"/>
  <c r="H10" i="3"/>
  <c r="H9" i="3"/>
  <c r="H19" i="3"/>
  <c r="H12" i="3"/>
  <c r="H11" i="3"/>
  <c r="H5" i="3"/>
  <c r="H6" i="3"/>
  <c r="H7" i="3"/>
  <c r="H8" i="3"/>
  <c r="H4" i="3"/>
  <c r="H3" i="3"/>
  <c r="H2" i="3"/>
</calcChain>
</file>

<file path=xl/sharedStrings.xml><?xml version="1.0" encoding="utf-8"?>
<sst xmlns="http://schemas.openxmlformats.org/spreadsheetml/2006/main" count="270" uniqueCount="148">
  <si>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</si>
  <si>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</si>
  <si>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</si>
  <si>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</si>
  <si>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</si>
  <si>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</si>
  <si>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</si>
  <si>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</si>
  <si>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</si>
  <si>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</si>
  <si>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</si>
  <si>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</si>
  <si>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</si>
  <si>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</si>
  <si>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</si>
  <si>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</si>
  <si>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</si>
  <si>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</si>
  <si>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</si>
  <si>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</si>
  <si>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</si>
  <si>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</si>
  <si>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</si>
  <si>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</si>
  <si>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</si>
  <si>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</si>
  <si>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</si>
  <si>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</si>
  <si>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</si>
  <si>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</si>
  <si>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</si>
  <si>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</si>
  <si>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</si>
  <si>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</si>
  <si>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</si>
  <si>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</si>
  <si>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</si>
  <si>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</si>
  <si>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</si>
  <si>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</si>
  <si>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</si>
  <si>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</si>
  <si>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</si>
  <si>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Fireball</t>
  </si>
  <si>
    <t>Heal</t>
  </si>
  <si>
    <t>StaminaCost</t>
  </si>
  <si>
    <t>ManaCost</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</si>
  <si>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</si>
  <si>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</si>
  <si>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</si>
  <si>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</si>
  <si>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Frostblast</t>
  </si>
  <si>
    <t>Value</t>
  </si>
  <si>
    <t>Entrance Hall</t>
  </si>
  <si>
    <t>You have obtained 1 Bandage</t>
  </si>
  <si>
    <t>A vast cavern holds the remains of what must be hundreds of fallen warriors. You hear rats scurrying away from the sound of your footsteps.  In the darkness, you strain to hear if there are any more noises that may indicate you are not alone.</t>
  </si>
  <si>
    <t>Meanie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</si>
  <si>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</si>
  <si>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</si>
  <si>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</si>
  <si>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</si>
  <si>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</si>
  <si>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</si>
  <si>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</si>
  <si>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You arrive at the Entrance Hall. The gloomy entrance hall is filled with darkened corners and shadows that leap in the corner of your eye, thanks to the flickering torches that are sparsely placed on the walls.</t>
  </si>
  <si>
    <t>You arrive at the Lair. The home of a giant creature, which has built a nest for itself.  Fortunately, the creature is not at home - whatever it is.</t>
  </si>
  <si>
    <t>In the Lair you see: 1 Wolf.1 Bear.1 Food.1 Bandage.</t>
  </si>
  <si>
    <t>Inventory</t>
  </si>
  <si>
    <t>Current HP</t>
  </si>
  <si>
    <t>Max HP</t>
  </si>
  <si>
    <t>Current Stamina</t>
  </si>
  <si>
    <t>Max Stamina</t>
  </si>
  <si>
    <t>Current Mana</t>
  </si>
  <si>
    <t>Max Mana</t>
  </si>
  <si>
    <t>Current Dungeon</t>
  </si>
  <si>
    <t>Current Room</t>
  </si>
  <si>
    <t>You arrive at the Tomb. A vast cavern holds the remains of what must be hundreds of fallen warriors. You hear rats scurrying away from the sound of your footsteps.  In the darkness, you strain to hear if there are any more noises that may indicate you are not alone.</t>
  </si>
  <si>
    <t>In the Tomb you see: 1 Wolf.1 Bear.1 Food.1 Bandage.</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</si>
  <si>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</si>
  <si>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</si>
  <si>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</si>
  <si>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</si>
  <si>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</si>
  <si>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</si>
  <si>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</si>
  <si>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</si>
  <si>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</si>
  <si>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</si>
  <si>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</si>
  <si>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In the Entrance Hall you see: 1 Food.1 Bandage.1 Sword.</t>
  </si>
  <si>
    <t>Action Description</t>
  </si>
  <si>
    <t>Name:</t>
  </si>
  <si>
    <t>Mana:</t>
  </si>
  <si>
    <t>Stamina:</t>
  </si>
  <si>
    <t>Health:</t>
  </si>
  <si>
    <t>Base Attack Skill:</t>
  </si>
  <si>
    <t>Base Defend Skill:</t>
  </si>
  <si>
    <t>Luck:</t>
  </si>
  <si>
    <t>Inventory:</t>
  </si>
  <si>
    <t>17 / 17</t>
  </si>
  <si>
    <t>Equipped Weapon:</t>
  </si>
  <si>
    <t>Equipped Spell:</t>
  </si>
  <si>
    <t xml:space="preserve"> </t>
  </si>
  <si>
    <t>Troll</t>
  </si>
  <si>
    <t>Trollstooth</t>
  </si>
  <si>
    <t>Club</t>
  </si>
  <si>
    <t>A towering troll who looks like a rockformation come to life</t>
  </si>
  <si>
    <t>Eye of ogre</t>
  </si>
  <si>
    <t>Cyclops</t>
  </si>
  <si>
    <t>A one-eyed ogre, with matted hair all over its misshapen body</t>
  </si>
  <si>
    <t>16 / 16</t>
  </si>
  <si>
    <t>12</t>
  </si>
  <si>
    <t>11</t>
  </si>
  <si>
    <t>You search the room, collecting whatever you can find.</t>
  </si>
  <si>
    <t>In the Tomb you see: 1 Cyclops.1 Food.1 Bandage.</t>
  </si>
  <si>
    <t>In the Tomb you see: 1 Bear.1 Food.1 Bandage.</t>
  </si>
  <si>
    <t>You arrive at the Banqueting Hall. A surprisingly formal room dominated by a long banqueting table, covered in chargers of rotting meat and flagons of foul smelling drink.  Who would be feasting in the depths of the dungeon?</t>
  </si>
  <si>
    <t>In the Banqueting Hall you see: 1 Cyclops.1 Food.1 Bandage.</t>
  </si>
  <si>
    <t>You arrive at the Chasm. A medium-sized room, however it is split in two by a gaping chasm revealing a churning lake of molten lava below.  The heat is intense.</t>
  </si>
  <si>
    <t>In the Chasm you see: 1 Troll.1 Food.1 Bandage.</t>
  </si>
  <si>
    <t>In the Chasm you see: 1 Wolf.1 Food.1 Bandage.</t>
  </si>
  <si>
    <t>You arrive at the Temple. Which deity was this temple built to worship?  You cannot tell, but whichever it was you doubt they were benevolent.  The blood stains that cover nearly every surface tell a tale of centuries of sacrifices made to appease the brutal, nameless god.</t>
  </si>
  <si>
    <t>In the Temple you see: 1 Cyclops.1 Food.1 Bandage.</t>
  </si>
  <si>
    <t>In the Chasm you see: 1 Bear.1 Food.1 Bandage.</t>
  </si>
  <si>
    <t>You arrive at the Exit. The end of the dungeon.  You see daylight, after becoming convinced you would be trapped in the dungeon forever.</t>
  </si>
  <si>
    <t>In the Exit you see: 1 Food.1 Bandage.</t>
  </si>
  <si>
    <t>In the Entrance Hall you see: 1 Food.1 Sword.</t>
  </si>
  <si>
    <t>In the Banqueting Hall you see: 1 Troll.1 Bandage.</t>
  </si>
  <si>
    <t>12 / 12</t>
  </si>
  <si>
    <t>The gloomy entrance hall is filled with darkened corners and shadows that leap in the corner of your eye, thanks to the flickering torches that are sparsely placed on the walls. You also see:  1 Food.1 Sword.</t>
  </si>
  <si>
    <t>In the Entrance Hall you see: 1 Bearskin.1 Sword.</t>
  </si>
  <si>
    <t>In the Chasm you see: 1 Troll.1 Meaniebite.</t>
  </si>
  <si>
    <t>In the Chasm you see: 1 Cyclops.1 Wolfbite.</t>
  </si>
  <si>
    <t>Meaniefangs</t>
  </si>
  <si>
    <t>Wolffangs</t>
  </si>
  <si>
    <t>Bandit</t>
  </si>
  <si>
    <t>A grizzled bandit, looking to kill you and steal you belongings</t>
  </si>
  <si>
    <t>In the Entrance Hall you see: 1 Shiruken.1 Sword.</t>
  </si>
  <si>
    <t>In the Entrance Hall you see: 1 Fireball.1 Sword.</t>
  </si>
  <si>
    <t>In the Entrance Hall you see: 1 Nunchuks.1 Sword.</t>
  </si>
  <si>
    <t>In the Entrance Hall you see: 1 Sword.1 Sword.</t>
  </si>
  <si>
    <t>In the Entrance Hall you see: 1 Bearclaws.1 Sword.</t>
  </si>
  <si>
    <t>In the Entrance Hall you see: 1 Rock.1 Sword.</t>
  </si>
  <si>
    <t>A bearskin</t>
  </si>
  <si>
    <t>A wolfskin</t>
  </si>
  <si>
    <t>A trollstooth</t>
  </si>
  <si>
    <t>An ogre's eye</t>
  </si>
  <si>
    <t>In the Entrance Hall you see: 1 Wolfskin.1 Sword.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</si>
</sst>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32D25-BB6F-434F-84A3-C8D3427BD7AC}">
  <sheetPr codeName="Sheet1"/>
  <dimension ref="A1:A122"/>
  <sheetViews>
    <sheetView workbookViewId="0">
      <selection sqref="A1:A1048576"/>
    </sheetView>
  </sheetViews>
  <sheetFormatPr defaultRowHeight="14.4" x14ac:dyDescent="0.3"/>
  <sheetData>
    <row r="1" spans="1:1" x14ac:dyDescent="0.3">
      <c r="A1" t="s">
        <v>64</v>
      </c>
    </row>
    <row r="2" spans="1:1" x14ac:dyDescent="0.3">
      <c r="A2" t="s">
        <v>89</v>
      </c>
    </row>
    <row r="3" spans="1:1" x14ac:dyDescent="0.3">
      <c r="A3" t="s">
        <v>64</v>
      </c>
    </row>
    <row r="4" spans="1:1" x14ac:dyDescent="0.3">
      <c r="A4" t="s">
        <v>89</v>
      </c>
    </row>
    <row r="5" spans="1:1" x14ac:dyDescent="0.3">
      <c r="A5" t="s">
        <v>76</v>
      </c>
    </row>
    <row r="6" spans="1:1" x14ac:dyDescent="0.3">
      <c r="A6" t="s">
        <v>77</v>
      </c>
    </row>
    <row r="7" spans="1:1" x14ac:dyDescent="0.3">
      <c r="A7" t="s">
        <v>65</v>
      </c>
    </row>
    <row r="8" spans="1:1" x14ac:dyDescent="0.3">
      <c r="A8" t="s">
        <v>66</v>
      </c>
    </row>
    <row r="9" spans="1:1" x14ac:dyDescent="0.3">
      <c r="A9" t="s">
        <v>64</v>
      </c>
    </row>
    <row r="10" spans="1:1" x14ac:dyDescent="0.3">
      <c r="A10" t="s">
        <v>89</v>
      </c>
    </row>
    <row r="11" spans="1:1" x14ac:dyDescent="0.3">
      <c r="A11" t="s">
        <v>64</v>
      </c>
    </row>
    <row r="12" spans="1:1" x14ac:dyDescent="0.3">
      <c r="A12" t="s">
        <v>89</v>
      </c>
    </row>
    <row r="13" spans="1:1" x14ac:dyDescent="0.3">
      <c r="A13" t="s">
        <v>113</v>
      </c>
    </row>
    <row r="14" spans="1:1" x14ac:dyDescent="0.3">
      <c r="A14" t="s">
        <v>76</v>
      </c>
    </row>
    <row r="15" spans="1:1" x14ac:dyDescent="0.3">
      <c r="A15" t="s">
        <v>114</v>
      </c>
    </row>
    <row r="16" spans="1:1" x14ac:dyDescent="0.3">
      <c r="A16" t="s">
        <v>113</v>
      </c>
    </row>
    <row r="17" spans="1:1" x14ac:dyDescent="0.3">
      <c r="A17" t="s">
        <v>76</v>
      </c>
    </row>
    <row r="18" spans="1:1" x14ac:dyDescent="0.3">
      <c r="A18" t="s">
        <v>115</v>
      </c>
    </row>
    <row r="19" spans="1:1" x14ac:dyDescent="0.3">
      <c r="A19" t="s">
        <v>116</v>
      </c>
    </row>
    <row r="20" spans="1:1" x14ac:dyDescent="0.3">
      <c r="A20" t="s">
        <v>117</v>
      </c>
    </row>
    <row r="21" spans="1:1" x14ac:dyDescent="0.3">
      <c r="A21" t="s">
        <v>118</v>
      </c>
    </row>
    <row r="22" spans="1:1" x14ac:dyDescent="0.3">
      <c r="A22" t="s">
        <v>119</v>
      </c>
    </row>
    <row r="23" spans="1:1" x14ac:dyDescent="0.3">
      <c r="A23" t="s">
        <v>113</v>
      </c>
    </row>
    <row r="24" spans="1:1" x14ac:dyDescent="0.3">
      <c r="A24" t="s">
        <v>118</v>
      </c>
    </row>
    <row r="25" spans="1:1" x14ac:dyDescent="0.3">
      <c r="A25" t="s">
        <v>120</v>
      </c>
    </row>
    <row r="26" spans="1:1" x14ac:dyDescent="0.3">
      <c r="A26" t="s">
        <v>121</v>
      </c>
    </row>
    <row r="27" spans="1:1" x14ac:dyDescent="0.3">
      <c r="A27" t="s">
        <v>122</v>
      </c>
    </row>
    <row r="28" spans="1:1" x14ac:dyDescent="0.3">
      <c r="A28" t="s">
        <v>118</v>
      </c>
    </row>
    <row r="29" spans="1:1" x14ac:dyDescent="0.3">
      <c r="A29" t="s">
        <v>123</v>
      </c>
    </row>
    <row r="30" spans="1:1" x14ac:dyDescent="0.3">
      <c r="A30" t="s">
        <v>124</v>
      </c>
    </row>
    <row r="31" spans="1:1" x14ac:dyDescent="0.3">
      <c r="A31" t="s">
        <v>125</v>
      </c>
    </row>
    <row r="32" spans="1:1" x14ac:dyDescent="0.3">
      <c r="A32" t="s">
        <v>64</v>
      </c>
    </row>
    <row r="33" spans="1:1" x14ac:dyDescent="0.3">
      <c r="A33" t="s">
        <v>89</v>
      </c>
    </row>
    <row r="34" spans="1:1" x14ac:dyDescent="0.3">
      <c r="A34" t="s">
        <v>113</v>
      </c>
    </row>
    <row r="35" spans="1:1" x14ac:dyDescent="0.3">
      <c r="A35" t="s">
        <v>76</v>
      </c>
    </row>
    <row r="36" spans="1:1" x14ac:dyDescent="0.3">
      <c r="A36" t="s">
        <v>114</v>
      </c>
    </row>
    <row r="37" spans="1:1" x14ac:dyDescent="0.3">
      <c r="A37" t="s">
        <v>64</v>
      </c>
    </row>
    <row r="38" spans="1:1" x14ac:dyDescent="0.3">
      <c r="A38" t="s">
        <v>126</v>
      </c>
    </row>
    <row r="39" spans="1:1" x14ac:dyDescent="0.3">
      <c r="A39" t="s">
        <v>113</v>
      </c>
    </row>
    <row r="40" spans="1:1" x14ac:dyDescent="0.3">
      <c r="A40" t="s">
        <v>116</v>
      </c>
    </row>
    <row r="41" spans="1:1" x14ac:dyDescent="0.3">
      <c r="A41" t="s">
        <v>127</v>
      </c>
    </row>
    <row r="42" spans="1:1" x14ac:dyDescent="0.3">
      <c r="A42" t="s">
        <v>64</v>
      </c>
    </row>
    <row r="43" spans="1:1" x14ac:dyDescent="0.3">
      <c r="A43" t="s">
        <v>126</v>
      </c>
    </row>
    <row r="44" spans="1:1" x14ac:dyDescent="0.3">
      <c r="A44" t="s">
        <v>64</v>
      </c>
    </row>
    <row r="45" spans="1:1" x14ac:dyDescent="0.3">
      <c r="A45" t="s">
        <v>126</v>
      </c>
    </row>
    <row r="46" spans="1:1" x14ac:dyDescent="0.3">
      <c r="A46" t="s">
        <v>64</v>
      </c>
    </row>
    <row r="47" spans="1:1" x14ac:dyDescent="0.3">
      <c r="A47" t="s">
        <v>126</v>
      </c>
    </row>
    <row r="48" spans="1:1" x14ac:dyDescent="0.3">
      <c r="A48" t="s">
        <v>64</v>
      </c>
    </row>
    <row r="49" spans="1:1" x14ac:dyDescent="0.3">
      <c r="A49" t="s">
        <v>126</v>
      </c>
    </row>
    <row r="50" spans="1:1" x14ac:dyDescent="0.3">
      <c r="A50" t="s">
        <v>64</v>
      </c>
    </row>
    <row r="51" spans="1:1" x14ac:dyDescent="0.3">
      <c r="A51" t="s">
        <v>126</v>
      </c>
    </row>
    <row r="52" spans="1:1" x14ac:dyDescent="0.3">
      <c r="A52" t="s">
        <v>64</v>
      </c>
    </row>
    <row r="53" spans="1:1" x14ac:dyDescent="0.3">
      <c r="A53" t="s">
        <v>126</v>
      </c>
    </row>
    <row r="54" spans="1:1" x14ac:dyDescent="0.3">
      <c r="A54" t="s">
        <v>64</v>
      </c>
    </row>
    <row r="55" spans="1:1" x14ac:dyDescent="0.3">
      <c r="A55" t="s">
        <v>126</v>
      </c>
    </row>
    <row r="56" spans="1:1" x14ac:dyDescent="0.3">
      <c r="A56" t="s">
        <v>64</v>
      </c>
    </row>
    <row r="57" spans="1:1" x14ac:dyDescent="0.3">
      <c r="A57" t="s">
        <v>126</v>
      </c>
    </row>
    <row r="58" spans="1:1" x14ac:dyDescent="0.3">
      <c r="A58" t="s">
        <v>64</v>
      </c>
    </row>
    <row r="59" spans="1:1" x14ac:dyDescent="0.3">
      <c r="A59" t="s">
        <v>126</v>
      </c>
    </row>
    <row r="60" spans="1:1" x14ac:dyDescent="0.3">
      <c r="A60" t="s">
        <v>64</v>
      </c>
    </row>
    <row r="61" spans="1:1" x14ac:dyDescent="0.3">
      <c r="A61" t="s">
        <v>126</v>
      </c>
    </row>
    <row r="62" spans="1:1" x14ac:dyDescent="0.3">
      <c r="A62" t="s">
        <v>64</v>
      </c>
    </row>
    <row r="63" spans="1:1" x14ac:dyDescent="0.3">
      <c r="A63" t="s">
        <v>126</v>
      </c>
    </row>
    <row r="64" spans="1:1" x14ac:dyDescent="0.3">
      <c r="A64" t="s">
        <v>64</v>
      </c>
    </row>
    <row r="65" spans="1:1" x14ac:dyDescent="0.3">
      <c r="A65" t="s">
        <v>126</v>
      </c>
    </row>
    <row r="66" spans="1:1" x14ac:dyDescent="0.3">
      <c r="A66" t="s">
        <v>64</v>
      </c>
    </row>
    <row r="67" spans="1:1" x14ac:dyDescent="0.3">
      <c r="A67" t="s">
        <v>130</v>
      </c>
    </row>
    <row r="68" spans="1:1" x14ac:dyDescent="0.3">
      <c r="A68" t="s">
        <v>64</v>
      </c>
    </row>
    <row r="69" spans="1:1" x14ac:dyDescent="0.3">
      <c r="A69" t="s">
        <v>126</v>
      </c>
    </row>
    <row r="70" spans="1:1" x14ac:dyDescent="0.3">
      <c r="A70" t="s">
        <v>64</v>
      </c>
    </row>
    <row r="71" spans="1:1" x14ac:dyDescent="0.3">
      <c r="A71" t="s">
        <v>126</v>
      </c>
    </row>
    <row r="72" spans="1:1" x14ac:dyDescent="0.3">
      <c r="A72" t="s">
        <v>113</v>
      </c>
    </row>
    <row r="73" spans="1:1" x14ac:dyDescent="0.3">
      <c r="A73" t="s">
        <v>116</v>
      </c>
    </row>
    <row r="74" spans="1:1" x14ac:dyDescent="0.3">
      <c r="A74" t="s">
        <v>127</v>
      </c>
    </row>
    <row r="75" spans="1:1" x14ac:dyDescent="0.3">
      <c r="A75" t="s">
        <v>113</v>
      </c>
    </row>
    <row r="76" spans="1:1" x14ac:dyDescent="0.3">
      <c r="A76" t="s">
        <v>118</v>
      </c>
    </row>
    <row r="77" spans="1:1" x14ac:dyDescent="0.3">
      <c r="A77" t="s">
        <v>131</v>
      </c>
    </row>
    <row r="78" spans="1:1" x14ac:dyDescent="0.3">
      <c r="A78" t="s">
        <v>113</v>
      </c>
    </row>
    <row r="79" spans="1:1" x14ac:dyDescent="0.3">
      <c r="A79" t="s">
        <v>118</v>
      </c>
    </row>
    <row r="80" spans="1:1" x14ac:dyDescent="0.3">
      <c r="A80" t="s">
        <v>132</v>
      </c>
    </row>
    <row r="81" spans="1:1" x14ac:dyDescent="0.3">
      <c r="A81" t="s">
        <v>64</v>
      </c>
    </row>
    <row r="82" spans="1:1" x14ac:dyDescent="0.3">
      <c r="A82" t="s">
        <v>137</v>
      </c>
    </row>
    <row r="83" spans="1:1" x14ac:dyDescent="0.3">
      <c r="A83" t="s">
        <v>64</v>
      </c>
    </row>
    <row r="84" spans="1:1" x14ac:dyDescent="0.3">
      <c r="A84" t="s">
        <v>137</v>
      </c>
    </row>
    <row r="85" spans="1:1" x14ac:dyDescent="0.3">
      <c r="A85" t="s">
        <v>64</v>
      </c>
    </row>
    <row r="86" spans="1:1" x14ac:dyDescent="0.3">
      <c r="A86" t="s">
        <v>126</v>
      </c>
    </row>
    <row r="87" spans="1:1" x14ac:dyDescent="0.3">
      <c r="A87" t="s">
        <v>64</v>
      </c>
    </row>
    <row r="88" spans="1:1" x14ac:dyDescent="0.3">
      <c r="A88" t="s">
        <v>138</v>
      </c>
    </row>
    <row r="89" spans="1:1" x14ac:dyDescent="0.3">
      <c r="A89" t="s">
        <v>64</v>
      </c>
    </row>
    <row r="90" spans="1:1" x14ac:dyDescent="0.3">
      <c r="A90" t="s">
        <v>139</v>
      </c>
    </row>
    <row r="91" spans="1:1" x14ac:dyDescent="0.3">
      <c r="A91" t="s">
        <v>64</v>
      </c>
    </row>
    <row r="92" spans="1:1" x14ac:dyDescent="0.3">
      <c r="A92" t="s">
        <v>140</v>
      </c>
    </row>
    <row r="93" spans="1:1" x14ac:dyDescent="0.3">
      <c r="A93" t="s">
        <v>64</v>
      </c>
    </row>
    <row r="94" spans="1:1" x14ac:dyDescent="0.3">
      <c r="A94" t="s">
        <v>126</v>
      </c>
    </row>
    <row r="95" spans="1:1" x14ac:dyDescent="0.3">
      <c r="A95" t="s">
        <v>64</v>
      </c>
    </row>
    <row r="96" spans="1:1" x14ac:dyDescent="0.3">
      <c r="A96" t="s">
        <v>141</v>
      </c>
    </row>
    <row r="97" spans="1:1" x14ac:dyDescent="0.3">
      <c r="A97" t="s">
        <v>64</v>
      </c>
    </row>
    <row r="98" spans="1:1" x14ac:dyDescent="0.3">
      <c r="A98" t="s">
        <v>139</v>
      </c>
    </row>
    <row r="99" spans="1:1" x14ac:dyDescent="0.3">
      <c r="A99" t="s">
        <v>64</v>
      </c>
    </row>
    <row r="100" spans="1:1" x14ac:dyDescent="0.3">
      <c r="A100" t="s">
        <v>141</v>
      </c>
    </row>
    <row r="101" spans="1:1" x14ac:dyDescent="0.3">
      <c r="A101" t="s">
        <v>64</v>
      </c>
    </row>
    <row r="102" spans="1:1" x14ac:dyDescent="0.3">
      <c r="A102" t="s">
        <v>142</v>
      </c>
    </row>
    <row r="103" spans="1:1" x14ac:dyDescent="0.3">
      <c r="A103" t="s">
        <v>64</v>
      </c>
    </row>
    <row r="104" spans="1:1" x14ac:dyDescent="0.3">
      <c r="A104" t="s">
        <v>137</v>
      </c>
    </row>
    <row r="105" spans="1:1" x14ac:dyDescent="0.3">
      <c r="A105" t="s">
        <v>64</v>
      </c>
    </row>
    <row r="106" spans="1:1" x14ac:dyDescent="0.3">
      <c r="A106" t="s">
        <v>126</v>
      </c>
    </row>
    <row r="107" spans="1:1" x14ac:dyDescent="0.3">
      <c r="A107" t="s">
        <v>64</v>
      </c>
    </row>
    <row r="108" spans="1:1" x14ac:dyDescent="0.3">
      <c r="A108" t="s">
        <v>147</v>
      </c>
    </row>
    <row r="109" spans="1:1" x14ac:dyDescent="0.3">
      <c r="A109" t="s">
        <v>64</v>
      </c>
    </row>
    <row r="110" spans="1:1" x14ac:dyDescent="0.3">
      <c r="A110" t="s">
        <v>139</v>
      </c>
    </row>
    <row r="111" spans="1:1" x14ac:dyDescent="0.3">
      <c r="A111" t="s">
        <v>64</v>
      </c>
    </row>
    <row r="112" spans="1:1" x14ac:dyDescent="0.3">
      <c r="A112" t="s">
        <v>140</v>
      </c>
    </row>
    <row r="113" spans="1:1" x14ac:dyDescent="0.3">
      <c r="A113" t="s">
        <v>64</v>
      </c>
    </row>
    <row r="114" spans="1:1" x14ac:dyDescent="0.3">
      <c r="A114" t="s">
        <v>137</v>
      </c>
    </row>
    <row r="115" spans="1:1" x14ac:dyDescent="0.3">
      <c r="A115" t="s">
        <v>64</v>
      </c>
    </row>
    <row r="116" spans="1:1" x14ac:dyDescent="0.3">
      <c r="A116" t="s">
        <v>126</v>
      </c>
    </row>
    <row r="117" spans="1:1" x14ac:dyDescent="0.3">
      <c r="A117" t="s">
        <v>64</v>
      </c>
    </row>
    <row r="118" spans="1:1" x14ac:dyDescent="0.3">
      <c r="A118" t="s">
        <v>147</v>
      </c>
    </row>
    <row r="119" spans="1:1" x14ac:dyDescent="0.3">
      <c r="A119" t="s">
        <v>64</v>
      </c>
    </row>
    <row r="120" spans="1:1" x14ac:dyDescent="0.3">
      <c r="A120" t="s">
        <v>139</v>
      </c>
    </row>
    <row r="121" spans="1:1" x14ac:dyDescent="0.3">
      <c r="A121" t="s">
        <v>64</v>
      </c>
    </row>
    <row r="122" spans="1:1" x14ac:dyDescent="0.3">
      <c r="A122" t="s">
        <v>126</v>
      </c>
    </row>
  </sheetData>
  <dataConsolid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M12"/>
  <sheetViews>
    <sheetView tabSelected="1" topLeftCell="A4" workbookViewId="0">
      <selection activeCell="G26" sqref="G26:G27"/>
    </sheetView>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3" x14ac:dyDescent="0.3">
      <c r="A1" t="s">
        <v>78</v>
      </c>
      <c r="B1" t="s">
        <v>68</v>
      </c>
      <c r="C1" t="s">
        <v>69</v>
      </c>
      <c r="D1" t="s">
        <v>70</v>
      </c>
      <c r="E1" t="s">
        <v>71</v>
      </c>
      <c r="F1" t="s">
        <v>72</v>
      </c>
      <c r="G1" t="s">
        <v>73</v>
      </c>
      <c r="H1" t="s">
        <v>86</v>
      </c>
      <c r="I1" t="s">
        <v>102</v>
      </c>
      <c r="J1" t="s">
        <v>100</v>
      </c>
      <c r="K1" t="s">
        <v>18</v>
      </c>
      <c r="M1" t="s">
        <v>67</v>
      </c>
    </row>
    <row r="2" spans="1:13" x14ac:dyDescent="0.3">
      <c r="A2" t="s">
        <v>88</v>
      </c>
      <c r="B2">
        <v>16</v>
      </c>
      <c r="C2">
        <v>16</v>
      </c>
      <c r="D2">
        <v>12</v>
      </c>
      <c r="E2">
        <v>12</v>
      </c>
      <c r="F2">
        <v>17</v>
      </c>
      <c r="G2">
        <v>17</v>
      </c>
      <c r="H2">
        <v>11</v>
      </c>
    </row>
    <row r="5" spans="1:13" x14ac:dyDescent="0.3">
      <c r="A5" t="s">
        <v>74</v>
      </c>
      <c r="B5" t="s">
        <v>85</v>
      </c>
    </row>
    <row r="6" spans="1:13" x14ac:dyDescent="0.3">
      <c r="A6" t="s">
        <v>75</v>
      </c>
      <c r="B6" t="s">
        <v>53</v>
      </c>
    </row>
    <row r="8" spans="1:13" x14ac:dyDescent="0.3">
      <c r="A8" t="s">
        <v>87</v>
      </c>
    </row>
    <row r="9" spans="1:13" x14ac:dyDescent="0.3">
      <c r="A9" s="4" t="s">
        <v>129</v>
      </c>
      <c r="B9" s="4"/>
      <c r="C9" s="4"/>
      <c r="D9" s="4"/>
      <c r="E9" s="4"/>
      <c r="F9" s="4"/>
      <c r="G9" s="4"/>
      <c r="H9" s="4"/>
      <c r="I9" s="4"/>
      <c r="J9" s="4"/>
      <c r="K9" s="4"/>
    </row>
    <row r="10" spans="1:13" x14ac:dyDescent="0.3">
      <c r="A10" s="4"/>
      <c r="B10" s="4"/>
      <c r="C10" s="4"/>
      <c r="D10" s="4"/>
      <c r="E10" s="4"/>
      <c r="F10" s="4"/>
      <c r="G10" s="4"/>
      <c r="H10" s="4"/>
      <c r="I10" s="4"/>
      <c r="J10" s="4"/>
      <c r="K10" s="4"/>
    </row>
    <row r="12" spans="1:13" x14ac:dyDescent="0.3">
      <c r="A12" t="s">
        <v>90</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utton 2">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8"/>
  <sheetViews>
    <sheetView workbookViewId="0">
      <selection activeCell="I23" sqref="I23"/>
    </sheetView>
  </sheetViews>
  <sheetFormatPr defaultRowHeight="14.4" x14ac:dyDescent="0.3"/>
  <cols>
    <col min="1" max="1" width="15.44140625" bestFit="1" customWidth="1"/>
    <col min="2" max="2" width="8.88671875" style="1"/>
    <col min="10" max="10" width="16.44140625" bestFit="1" customWidth="1"/>
  </cols>
  <sheetData>
    <row r="1" spans="1:11" x14ac:dyDescent="0.3">
      <c r="A1" t="s">
        <v>91</v>
      </c>
      <c r="B1" s="1" t="s">
        <v>88</v>
      </c>
      <c r="E1" t="s">
        <v>98</v>
      </c>
      <c r="J1" t="s">
        <v>100</v>
      </c>
      <c r="K1" t="s">
        <v>18</v>
      </c>
    </row>
    <row r="2" spans="1:11" x14ac:dyDescent="0.3">
      <c r="J2" t="s">
        <v>101</v>
      </c>
    </row>
    <row r="3" spans="1:11" x14ac:dyDescent="0.3">
      <c r="A3" t="s">
        <v>94</v>
      </c>
      <c r="B3" s="2" t="s">
        <v>110</v>
      </c>
    </row>
    <row r="4" spans="1:11" x14ac:dyDescent="0.3">
      <c r="A4" t="s">
        <v>93</v>
      </c>
      <c r="B4" s="2" t="s">
        <v>128</v>
      </c>
    </row>
    <row r="5" spans="1:11" x14ac:dyDescent="0.3">
      <c r="A5" t="s">
        <v>92</v>
      </c>
      <c r="B5" s="2" t="s">
        <v>99</v>
      </c>
    </row>
    <row r="6" spans="1:11" x14ac:dyDescent="0.3">
      <c r="A6" t="s">
        <v>95</v>
      </c>
      <c r="B6" s="3" t="s">
        <v>111</v>
      </c>
    </row>
    <row r="7" spans="1:11" x14ac:dyDescent="0.3">
      <c r="A7" t="s">
        <v>96</v>
      </c>
      <c r="B7" s="3" t="s">
        <v>112</v>
      </c>
    </row>
    <row r="8" spans="1:11" x14ac:dyDescent="0.3">
      <c r="A8" t="s">
        <v>97</v>
      </c>
      <c r="B8" s="3" t="s">
        <v>112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M7" sqref="M7"/>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K7"/>
  <sheetViews>
    <sheetView workbookViewId="0">
      <selection activeCell="C10" sqref="C10"/>
    </sheetView>
  </sheetViews>
  <sheetFormatPr defaultRowHeight="14.4" x14ac:dyDescent="0.3"/>
  <cols>
    <col min="5" max="5" width="10.21875" bestFit="1" customWidth="1"/>
    <col min="6" max="6" width="11.44140625" bestFit="1" customWidth="1"/>
    <col min="8" max="8" width="93" customWidth="1"/>
  </cols>
  <sheetData>
    <row r="1" spans="1:11" x14ac:dyDescent="0.3">
      <c r="A1" t="s">
        <v>27</v>
      </c>
      <c r="B1" t="s">
        <v>0</v>
      </c>
      <c r="C1" t="s">
        <v>1</v>
      </c>
      <c r="D1" t="s">
        <v>2</v>
      </c>
      <c r="E1" t="s">
        <v>3</v>
      </c>
      <c r="F1" t="s">
        <v>12</v>
      </c>
      <c r="G1" t="s">
        <v>27</v>
      </c>
      <c r="H1" t="s">
        <v>29</v>
      </c>
      <c r="I1" t="s">
        <v>38</v>
      </c>
      <c r="J1" t="s">
        <v>41</v>
      </c>
      <c r="K1" t="s">
        <v>42</v>
      </c>
    </row>
    <row r="2" spans="1:11" x14ac:dyDescent="0.3">
      <c r="A2">
        <v>1</v>
      </c>
      <c r="B2" t="s">
        <v>4</v>
      </c>
      <c r="C2">
        <v>10</v>
      </c>
      <c r="E2" t="s">
        <v>5</v>
      </c>
      <c r="F2" t="s">
        <v>24</v>
      </c>
      <c r="G2">
        <v>1</v>
      </c>
      <c r="H2" t="s">
        <v>36</v>
      </c>
      <c r="I2" t="s">
        <v>39</v>
      </c>
      <c r="J2">
        <v>3</v>
      </c>
      <c r="K2">
        <v>2</v>
      </c>
    </row>
    <row r="3" spans="1:11" x14ac:dyDescent="0.3">
      <c r="A3">
        <v>2</v>
      </c>
      <c r="B3" t="s">
        <v>16</v>
      </c>
      <c r="C3">
        <v>5</v>
      </c>
      <c r="E3" t="s">
        <v>17</v>
      </c>
      <c r="F3" t="s">
        <v>134</v>
      </c>
      <c r="G3">
        <v>2</v>
      </c>
      <c r="H3" t="s">
        <v>37</v>
      </c>
      <c r="I3" t="s">
        <v>40</v>
      </c>
      <c r="J3">
        <v>2</v>
      </c>
      <c r="K3">
        <v>4</v>
      </c>
    </row>
    <row r="4" spans="1:11" x14ac:dyDescent="0.3">
      <c r="A4">
        <v>3</v>
      </c>
      <c r="B4" t="s">
        <v>56</v>
      </c>
      <c r="C4">
        <v>5</v>
      </c>
      <c r="E4" t="s">
        <v>22</v>
      </c>
      <c r="F4" t="s">
        <v>133</v>
      </c>
      <c r="G4">
        <v>3</v>
      </c>
      <c r="H4" t="s">
        <v>57</v>
      </c>
      <c r="J4">
        <v>3</v>
      </c>
      <c r="K4">
        <v>3</v>
      </c>
    </row>
    <row r="5" spans="1:11" x14ac:dyDescent="0.3">
      <c r="A5">
        <v>4</v>
      </c>
      <c r="B5" t="s">
        <v>103</v>
      </c>
      <c r="C5">
        <v>15</v>
      </c>
      <c r="E5" t="s">
        <v>104</v>
      </c>
      <c r="F5" t="s">
        <v>105</v>
      </c>
      <c r="G5">
        <v>4</v>
      </c>
      <c r="H5" t="s">
        <v>106</v>
      </c>
      <c r="J5">
        <v>4</v>
      </c>
      <c r="K5">
        <v>3</v>
      </c>
    </row>
    <row r="6" spans="1:11" x14ac:dyDescent="0.3">
      <c r="A6">
        <v>5</v>
      </c>
      <c r="B6" t="s">
        <v>108</v>
      </c>
      <c r="C6">
        <v>18</v>
      </c>
      <c r="E6" t="s">
        <v>107</v>
      </c>
      <c r="F6" t="s">
        <v>105</v>
      </c>
      <c r="G6">
        <v>5</v>
      </c>
      <c r="H6" t="s">
        <v>109</v>
      </c>
      <c r="J6">
        <v>5</v>
      </c>
      <c r="K6">
        <v>5</v>
      </c>
    </row>
    <row r="7" spans="1:11" x14ac:dyDescent="0.3">
      <c r="A7">
        <v>6</v>
      </c>
      <c r="B7" t="s">
        <v>135</v>
      </c>
      <c r="C7">
        <v>10</v>
      </c>
      <c r="E7" t="s">
        <v>9</v>
      </c>
      <c r="F7" t="s">
        <v>9</v>
      </c>
      <c r="G7">
        <v>6</v>
      </c>
      <c r="H7" t="s">
        <v>136</v>
      </c>
      <c r="J7">
        <v>5</v>
      </c>
      <c r="K7">
        <v>6</v>
      </c>
    </row>
  </sheetData>
  <dataConsolidate/>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I26" sqref="I26"/>
    </sheetView>
  </sheetViews>
  <sheetFormatPr defaultRowHeight="14.4" x14ac:dyDescent="0.3"/>
  <sheetData>
    <row r="1" spans="1:12" x14ac:dyDescent="0.3">
      <c r="A1" t="s">
        <v>0</v>
      </c>
      <c r="B1" t="s">
        <v>79</v>
      </c>
      <c r="C1" t="s">
        <v>6</v>
      </c>
      <c r="D1" t="s">
        <v>10</v>
      </c>
      <c r="E1" t="s">
        <v>8</v>
      </c>
      <c r="F1" t="s">
        <v>80</v>
      </c>
      <c r="G1" t="s">
        <v>81</v>
      </c>
      <c r="H1" t="s">
        <v>7</v>
      </c>
      <c r="I1" t="s">
        <v>11</v>
      </c>
      <c r="J1" t="s">
        <v>82</v>
      </c>
      <c r="K1" t="s">
        <v>83</v>
      </c>
      <c r="L1" t="s">
        <v>84</v>
      </c>
    </row>
    <row r="2" spans="1:12" x14ac:dyDescent="0.3">
      <c r="A2" t="s">
        <v>88</v>
      </c>
      <c r="B2">
        <v>20</v>
      </c>
      <c r="E2" t="s">
        <v>9</v>
      </c>
      <c r="F2">
        <v>12</v>
      </c>
      <c r="G2">
        <v>12</v>
      </c>
      <c r="H2" t="s">
        <v>9</v>
      </c>
      <c r="I2" t="s">
        <v>12</v>
      </c>
      <c r="J2">
        <v>20</v>
      </c>
      <c r="K2">
        <v>20</v>
      </c>
      <c r="L2">
        <v>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33"/>
  <sheetViews>
    <sheetView workbookViewId="0">
      <selection activeCell="A10" sqref="A10"/>
    </sheetView>
  </sheetViews>
  <sheetFormatPr defaultRowHeight="14.4" x14ac:dyDescent="0.3"/>
  <cols>
    <col min="2" max="2" width="25.44140625" bestFit="1" customWidth="1"/>
    <col min="3" max="3" width="204.109375" bestFit="1" customWidth="1"/>
  </cols>
  <sheetData>
    <row r="1" spans="1:4" x14ac:dyDescent="0.3">
      <c r="A1" t="s">
        <v>26</v>
      </c>
      <c r="B1" t="s">
        <v>0</v>
      </c>
      <c r="C1" t="s">
        <v>29</v>
      </c>
      <c r="D1" t="s">
        <v>26</v>
      </c>
    </row>
    <row r="2" spans="1:4" x14ac:dyDescent="0.3">
      <c r="A2">
        <v>1</v>
      </c>
      <c r="B2" t="s">
        <v>53</v>
      </c>
      <c r="C2" t="s">
        <v>48</v>
      </c>
      <c r="D2">
        <v>1</v>
      </c>
    </row>
    <row r="3" spans="1:4" x14ac:dyDescent="0.3">
      <c r="A3">
        <v>2</v>
      </c>
      <c r="B3" t="s">
        <v>28</v>
      </c>
      <c r="C3" t="s">
        <v>49</v>
      </c>
      <c r="D3">
        <v>2</v>
      </c>
    </row>
    <row r="4" spans="1:4" x14ac:dyDescent="0.3">
      <c r="A4">
        <v>3</v>
      </c>
      <c r="B4" t="s">
        <v>30</v>
      </c>
      <c r="C4" t="s">
        <v>50</v>
      </c>
      <c r="D4">
        <v>3</v>
      </c>
    </row>
    <row r="5" spans="1:4" x14ac:dyDescent="0.3">
      <c r="A5">
        <v>4</v>
      </c>
      <c r="B5" t="s">
        <v>31</v>
      </c>
      <c r="C5" t="s">
        <v>55</v>
      </c>
      <c r="D5">
        <v>4</v>
      </c>
    </row>
    <row r="6" spans="1:4" x14ac:dyDescent="0.3">
      <c r="A6">
        <v>5</v>
      </c>
      <c r="B6" t="s">
        <v>32</v>
      </c>
      <c r="C6" t="s">
        <v>58</v>
      </c>
      <c r="D6">
        <v>5</v>
      </c>
    </row>
    <row r="7" spans="1:4" x14ac:dyDescent="0.3">
      <c r="A7">
        <v>6</v>
      </c>
      <c r="B7" t="s">
        <v>34</v>
      </c>
      <c r="C7" t="s">
        <v>61</v>
      </c>
      <c r="D7">
        <v>6</v>
      </c>
    </row>
    <row r="8" spans="1:4" x14ac:dyDescent="0.3">
      <c r="A8">
        <v>7</v>
      </c>
      <c r="B8" t="s">
        <v>35</v>
      </c>
      <c r="C8" t="s">
        <v>62</v>
      </c>
      <c r="D8">
        <v>7</v>
      </c>
    </row>
    <row r="9" spans="1:4" x14ac:dyDescent="0.3">
      <c r="A9">
        <v>8</v>
      </c>
      <c r="B9" t="s">
        <v>59</v>
      </c>
      <c r="C9" t="s">
        <v>60</v>
      </c>
      <c r="D9">
        <v>8</v>
      </c>
    </row>
    <row r="10" spans="1:4" x14ac:dyDescent="0.3">
      <c r="A10">
        <v>9</v>
      </c>
      <c r="B10" t="s">
        <v>33</v>
      </c>
      <c r="C10" t="s">
        <v>63</v>
      </c>
      <c r="D10">
        <v>9</v>
      </c>
    </row>
    <row r="33" spans="2:2" x14ac:dyDescent="0.3">
      <c r="B33" t="s">
        <v>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22"/>
  <sheetViews>
    <sheetView workbookViewId="0">
      <selection activeCell="H23" sqref="H23"/>
    </sheetView>
  </sheetViews>
  <sheetFormatPr defaultRowHeight="14.4" x14ac:dyDescent="0.3"/>
  <cols>
    <col min="2" max="2" width="31.21875" bestFit="1" customWidth="1"/>
  </cols>
  <sheetData>
    <row r="1" spans="1:8" x14ac:dyDescent="0.3">
      <c r="A1" t="s">
        <v>25</v>
      </c>
      <c r="B1" t="s">
        <v>0</v>
      </c>
      <c r="C1" t="s">
        <v>2</v>
      </c>
      <c r="D1" t="s">
        <v>21</v>
      </c>
      <c r="E1" t="s">
        <v>45</v>
      </c>
      <c r="F1" t="s">
        <v>46</v>
      </c>
      <c r="G1" t="s">
        <v>52</v>
      </c>
      <c r="H1" t="s">
        <v>29</v>
      </c>
    </row>
    <row r="2" spans="1:8" x14ac:dyDescent="0.3">
      <c r="A2">
        <v>1</v>
      </c>
      <c r="B2" t="s">
        <v>9</v>
      </c>
      <c r="C2">
        <v>5</v>
      </c>
      <c r="D2">
        <v>2</v>
      </c>
      <c r="E2">
        <v>1</v>
      </c>
      <c r="F2">
        <v>0</v>
      </c>
      <c r="G2">
        <v>5</v>
      </c>
      <c r="H2" t="str">
        <f>"Does "&amp;C2&amp;" damage"</f>
        <v>Does 5 damage</v>
      </c>
    </row>
    <row r="3" spans="1:8" x14ac:dyDescent="0.3">
      <c r="A3">
        <v>2</v>
      </c>
      <c r="B3" t="s">
        <v>13</v>
      </c>
      <c r="C3">
        <v>4</v>
      </c>
      <c r="D3">
        <v>2</v>
      </c>
      <c r="E3">
        <v>5</v>
      </c>
      <c r="F3">
        <v>0</v>
      </c>
      <c r="G3">
        <v>6</v>
      </c>
      <c r="H3" t="str">
        <f>"Does "&amp;C3&amp;" damage"</f>
        <v>Does 4 damage</v>
      </c>
    </row>
    <row r="4" spans="1:8" x14ac:dyDescent="0.3">
      <c r="A4">
        <v>3</v>
      </c>
      <c r="B4" t="s">
        <v>14</v>
      </c>
      <c r="C4">
        <v>3</v>
      </c>
      <c r="D4">
        <v>2</v>
      </c>
      <c r="E4">
        <v>3</v>
      </c>
      <c r="F4">
        <v>0</v>
      </c>
      <c r="G4">
        <v>2</v>
      </c>
      <c r="H4" t="str">
        <f>"Does "&amp;C4&amp;" damage"</f>
        <v>Does 3 damage</v>
      </c>
    </row>
    <row r="5" spans="1:8" x14ac:dyDescent="0.3">
      <c r="A5">
        <v>4</v>
      </c>
      <c r="B5" t="s">
        <v>15</v>
      </c>
      <c r="C5">
        <v>2</v>
      </c>
      <c r="D5">
        <v>2</v>
      </c>
      <c r="E5">
        <v>2</v>
      </c>
      <c r="F5">
        <v>0</v>
      </c>
      <c r="G5">
        <v>0</v>
      </c>
      <c r="H5" t="str">
        <f t="shared" ref="H5:H8" si="0">"Does "&amp;C5&amp;" damage"</f>
        <v>Does 2 damage</v>
      </c>
    </row>
    <row r="6" spans="1:8" x14ac:dyDescent="0.3">
      <c r="A6">
        <v>5</v>
      </c>
      <c r="B6" t="s">
        <v>18</v>
      </c>
      <c r="C6">
        <v>1</v>
      </c>
      <c r="D6">
        <v>2</v>
      </c>
      <c r="E6">
        <v>2</v>
      </c>
      <c r="F6">
        <v>0</v>
      </c>
      <c r="G6">
        <v>0</v>
      </c>
      <c r="H6" t="str">
        <f t="shared" si="0"/>
        <v>Does 1 damage</v>
      </c>
    </row>
    <row r="7" spans="1:8" x14ac:dyDescent="0.3">
      <c r="A7">
        <v>6</v>
      </c>
      <c r="B7" t="s">
        <v>19</v>
      </c>
      <c r="C7">
        <v>4</v>
      </c>
      <c r="D7">
        <v>2</v>
      </c>
      <c r="E7">
        <v>3</v>
      </c>
      <c r="F7">
        <v>0</v>
      </c>
      <c r="G7">
        <v>5</v>
      </c>
      <c r="H7" t="str">
        <f t="shared" si="0"/>
        <v>Does 4 damage</v>
      </c>
    </row>
    <row r="8" spans="1:8" x14ac:dyDescent="0.3">
      <c r="A8">
        <v>7</v>
      </c>
      <c r="B8" t="s">
        <v>20</v>
      </c>
      <c r="C8">
        <v>3</v>
      </c>
      <c r="D8">
        <v>2</v>
      </c>
      <c r="E8">
        <v>2</v>
      </c>
      <c r="F8">
        <v>0</v>
      </c>
      <c r="G8">
        <v>2</v>
      </c>
      <c r="H8" t="str">
        <f t="shared" si="0"/>
        <v>Does 3 damage</v>
      </c>
    </row>
    <row r="9" spans="1:8" x14ac:dyDescent="0.3">
      <c r="A9">
        <v>8</v>
      </c>
      <c r="B9" t="s">
        <v>22</v>
      </c>
      <c r="C9">
        <v>-3</v>
      </c>
      <c r="D9">
        <v>3</v>
      </c>
      <c r="E9">
        <v>0</v>
      </c>
      <c r="F9">
        <v>0</v>
      </c>
      <c r="G9">
        <v>4</v>
      </c>
      <c r="H9" t="str">
        <f>"Heals " &amp; C9*-1 &amp; " health"</f>
        <v>Heals 3 health</v>
      </c>
    </row>
    <row r="10" spans="1:8" x14ac:dyDescent="0.3">
      <c r="A10">
        <v>9</v>
      </c>
      <c r="B10" t="s">
        <v>23</v>
      </c>
      <c r="C10">
        <v>-5</v>
      </c>
      <c r="D10">
        <v>3</v>
      </c>
      <c r="E10">
        <v>0</v>
      </c>
      <c r="F10">
        <v>0</v>
      </c>
      <c r="G10">
        <v>2</v>
      </c>
      <c r="H10" t="str">
        <f>"Heals " &amp; C10*-1 &amp; " health"</f>
        <v>Heals 5 health</v>
      </c>
    </row>
    <row r="11" spans="1:8" x14ac:dyDescent="0.3">
      <c r="A11">
        <v>10</v>
      </c>
      <c r="B11" t="s">
        <v>24</v>
      </c>
      <c r="C11">
        <v>4</v>
      </c>
      <c r="D11">
        <v>2</v>
      </c>
      <c r="E11">
        <v>1</v>
      </c>
      <c r="F11">
        <v>0</v>
      </c>
      <c r="G11">
        <v>0</v>
      </c>
      <c r="H11" t="str">
        <f t="shared" ref="H11:H12" si="1">"Does "&amp;C11&amp;" damage"</f>
        <v>Does 4 damage</v>
      </c>
    </row>
    <row r="12" spans="1:8" x14ac:dyDescent="0.3">
      <c r="A12">
        <v>11</v>
      </c>
      <c r="B12" t="s">
        <v>134</v>
      </c>
      <c r="C12">
        <v>3</v>
      </c>
      <c r="D12">
        <v>2</v>
      </c>
      <c r="E12">
        <v>1</v>
      </c>
      <c r="F12">
        <v>0</v>
      </c>
      <c r="G12">
        <v>0</v>
      </c>
      <c r="H12" t="str">
        <f t="shared" si="1"/>
        <v>Does 3 damage</v>
      </c>
    </row>
    <row r="13" spans="1:8" x14ac:dyDescent="0.3">
      <c r="A13">
        <v>12</v>
      </c>
      <c r="B13" t="s">
        <v>5</v>
      </c>
      <c r="C13">
        <v>0</v>
      </c>
      <c r="D13">
        <v>1</v>
      </c>
      <c r="E13">
        <v>0</v>
      </c>
      <c r="F13">
        <v>0</v>
      </c>
      <c r="G13">
        <v>10</v>
      </c>
      <c r="H13" t="s">
        <v>143</v>
      </c>
    </row>
    <row r="14" spans="1:8" x14ac:dyDescent="0.3">
      <c r="A14">
        <v>13</v>
      </c>
      <c r="B14" t="s">
        <v>17</v>
      </c>
      <c r="C14">
        <v>0</v>
      </c>
      <c r="D14">
        <v>1</v>
      </c>
      <c r="E14">
        <v>0</v>
      </c>
      <c r="F14">
        <v>0</v>
      </c>
      <c r="G14">
        <v>5</v>
      </c>
      <c r="H14" t="s">
        <v>144</v>
      </c>
    </row>
    <row r="15" spans="1:8" x14ac:dyDescent="0.3">
      <c r="A15">
        <v>14</v>
      </c>
      <c r="B15" t="s">
        <v>43</v>
      </c>
      <c r="C15">
        <v>10</v>
      </c>
      <c r="D15">
        <v>4</v>
      </c>
      <c r="E15">
        <v>0</v>
      </c>
      <c r="F15">
        <v>5</v>
      </c>
      <c r="G15">
        <v>10</v>
      </c>
      <c r="H15" t="str">
        <f t="shared" ref="H15" si="2">"Does "&amp;C15&amp;" damage"</f>
        <v>Does 10 damage</v>
      </c>
    </row>
    <row r="16" spans="1:8" x14ac:dyDescent="0.3">
      <c r="A16">
        <v>15</v>
      </c>
      <c r="B16" t="s">
        <v>44</v>
      </c>
      <c r="C16">
        <v>-5</v>
      </c>
      <c r="D16">
        <v>4</v>
      </c>
      <c r="E16">
        <v>0</v>
      </c>
      <c r="F16">
        <v>3</v>
      </c>
      <c r="G16">
        <v>10</v>
      </c>
      <c r="H16" t="str">
        <f>"Heals " &amp; C16*-1 &amp; " health"</f>
        <v>Heals 5 health</v>
      </c>
    </row>
    <row r="17" spans="1:8" x14ac:dyDescent="0.3">
      <c r="A17">
        <v>16</v>
      </c>
      <c r="B17" t="s">
        <v>47</v>
      </c>
      <c r="C17">
        <v>0</v>
      </c>
      <c r="D17">
        <v>5</v>
      </c>
      <c r="E17">
        <v>0</v>
      </c>
      <c r="F17">
        <v>0</v>
      </c>
      <c r="G17">
        <v>0</v>
      </c>
      <c r="H17" t="s">
        <v>47</v>
      </c>
    </row>
    <row r="18" spans="1:8" x14ac:dyDescent="0.3">
      <c r="A18">
        <v>17</v>
      </c>
      <c r="B18" t="s">
        <v>51</v>
      </c>
      <c r="C18">
        <v>10</v>
      </c>
      <c r="D18">
        <v>4</v>
      </c>
      <c r="E18">
        <v>0</v>
      </c>
      <c r="F18">
        <v>10</v>
      </c>
      <c r="G18">
        <v>10</v>
      </c>
      <c r="H18" t="str">
        <f t="shared" ref="H18" si="3">"Does "&amp;C18&amp;" damage"</f>
        <v>Does 10 damage</v>
      </c>
    </row>
    <row r="19" spans="1:8" x14ac:dyDescent="0.3">
      <c r="A19">
        <v>18</v>
      </c>
      <c r="B19" t="s">
        <v>133</v>
      </c>
      <c r="C19">
        <v>5</v>
      </c>
      <c r="D19">
        <v>2</v>
      </c>
      <c r="E19">
        <v>1</v>
      </c>
      <c r="F19">
        <v>0</v>
      </c>
      <c r="G19">
        <v>0</v>
      </c>
      <c r="H19" t="str">
        <f t="shared" ref="H19:H20" si="4">"Does "&amp;C19&amp;" damage"</f>
        <v>Does 5 damage</v>
      </c>
    </row>
    <row r="20" spans="1:8" x14ac:dyDescent="0.3">
      <c r="A20">
        <v>19</v>
      </c>
      <c r="B20" t="s">
        <v>105</v>
      </c>
      <c r="C20">
        <v>6</v>
      </c>
      <c r="D20">
        <v>2</v>
      </c>
      <c r="E20">
        <v>2</v>
      </c>
      <c r="F20">
        <v>0</v>
      </c>
      <c r="G20">
        <v>2</v>
      </c>
      <c r="H20" t="str">
        <f t="shared" si="4"/>
        <v>Does 6 damage</v>
      </c>
    </row>
    <row r="21" spans="1:8" x14ac:dyDescent="0.3">
      <c r="A21">
        <v>20</v>
      </c>
      <c r="B21" t="s">
        <v>104</v>
      </c>
      <c r="C21">
        <v>0</v>
      </c>
      <c r="D21">
        <v>1</v>
      </c>
      <c r="E21">
        <v>0</v>
      </c>
      <c r="F21">
        <v>0</v>
      </c>
      <c r="G21">
        <v>15</v>
      </c>
      <c r="H21" t="s">
        <v>145</v>
      </c>
    </row>
    <row r="22" spans="1:8" x14ac:dyDescent="0.3">
      <c r="A22">
        <v>21</v>
      </c>
      <c r="B22" t="s">
        <v>107</v>
      </c>
      <c r="C22">
        <v>0</v>
      </c>
      <c r="D22">
        <v>1</v>
      </c>
      <c r="E22">
        <v>0</v>
      </c>
      <c r="F22">
        <v>0</v>
      </c>
      <c r="G22">
        <v>20</v>
      </c>
      <c r="H22" t="s">
        <v>146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EF812AE-F06A-4081-8355-08F82D6598C1}">
  <ds:schemaRefs>
    <ds:schemaRef ds:uri="http://purl.org/dc/dcmitype/"/>
    <ds:schemaRef ds:uri="http://schemas.microsoft.com/office/infopath/2007/PartnerControls"/>
    <ds:schemaRef ds:uri="http://schemas.microsoft.com/office/2006/documentManagement/types"/>
    <ds:schemaRef ds:uri="http://schemas.microsoft.com/office/2006/metadata/properties"/>
    <ds:schemaRef ds:uri="http://purl.org/dc/elements/1.1/"/>
    <ds:schemaRef ds:uri="8558acbf-ccfd-4cc4-a1a2-c99823379a45"/>
    <ds:schemaRef ds:uri="http://purl.org/dc/terms/"/>
    <ds:schemaRef ds:uri="http://schemas.openxmlformats.org/package/2006/metadata/core-properties"/>
    <ds:schemaRef ds:uri="d674c22a-ea5a-4691-94f9-50695bb57d48"/>
    <ds:schemaRef ds:uri="http://www.w3.org/XML/1998/namespace"/>
  </ds:schemaRefs>
</ds:datastoreItem>
</file>

<file path=customXml/itemProps2.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B57DDD6-EF42-4F8F-A9F7-F99CABC5A2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Log</vt:lpstr>
      <vt:lpstr>PlayScreen</vt:lpstr>
      <vt:lpstr>CharacterSheet</vt:lpstr>
      <vt:lpstr>WorldMap</vt:lpstr>
      <vt:lpstr>NPCs</vt:lpstr>
      <vt:lpstr>PlayerSheet</vt:lpstr>
      <vt:lpstr>Rooms</vt:lpstr>
      <vt:lpstr>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2020-05-22T14:31:47Z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