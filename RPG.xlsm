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LONGR8\OneDrive - PA Consulting Group\Admin\Personal\"/>
    </mc:Choice>
  </mc:AlternateContent>
  <xr:revisionPtr revIDLastSave="547" documentId="8_{4E9E7299-4859-4777-B3AC-605BCDF9FBF2}" xr6:coauthVersionLast="44" xr6:coauthVersionMax="44" xr10:uidLastSave="{2EFDD8D0-BC52-462C-9F08-461214D9FA74}"/>
  <bookViews>
    <workbookView xWindow="-108" yWindow="-108" windowWidth="23256" windowHeight="12576" xr2:uid="{FF30D28B-C20C-4B1E-A86E-94B56590103E}"/>
  </bookViews>
  <sheets>
    <sheet name="PlayScreen" sheetId="7" r:id="rId1"/>
    <sheet name="CharacterSheet" sheetId="9" r:id="rId2"/>
    <sheet name="PlayerSheet" sheetId="1" r:id="rId3"/>
    <sheet name="Items" sheetId="3" r:id="rId4"/>
    <sheet name="Enchantments" sheetId="12" r:id="rId5"/>
    <sheet name="Rooms" sheetId="6" r:id="rId6"/>
    <sheet name="NPCs" sheetId="2" r:id="rId7"/>
    <sheet name="Encounter" sheetId="11" r:id="rId8"/>
    <sheet name="Dungeon" sheetId="10" r:id="rId9"/>
    <sheet name="WorldMap" sheetId="8"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0" i="3" l="1"/>
  <c r="BE5" i="10"/>
  <c r="H18" i="3" l="1"/>
  <c r="H16" i="3"/>
  <c r="H15" i="3"/>
  <c r="H10" i="3"/>
  <c r="H9" i="3"/>
  <c r="H19" i="3"/>
  <c r="H12" i="3"/>
  <c r="H11" i="3"/>
  <c r="H5" i="3"/>
  <c r="H6" i="3"/>
  <c r="H7" i="3"/>
  <c r="H8" i="3"/>
  <c r="H4" i="3"/>
  <c r="H3" i="3"/>
  <c r="H2" i="3"/>
</calcChain>
</file>

<file path=xl/sharedStrings.xml><?xml version="1.0" encoding="utf-8"?>
<sst xmlns="http://schemas.openxmlformats.org/spreadsheetml/2006/main" count="167" uniqueCount="132">
  <si>
    <t>Name</t>
  </si>
  <si>
    <t>Hitpoints</t>
  </si>
  <si>
    <t>Damage</t>
  </si>
  <si>
    <t>Reward</t>
  </si>
  <si>
    <t>Bear</t>
  </si>
  <si>
    <t>Bearskin</t>
  </si>
  <si>
    <t>Current HitPoints</t>
  </si>
  <si>
    <t>Items</t>
  </si>
  <si>
    <t>CurrentWeapon</t>
  </si>
  <si>
    <t>Sword</t>
  </si>
  <si>
    <t>CurrentDamage</t>
  </si>
  <si>
    <t>Type</t>
  </si>
  <si>
    <t>Weapon</t>
  </si>
  <si>
    <t>Axe</t>
  </si>
  <si>
    <t>Dagger</t>
  </si>
  <si>
    <t>Rock</t>
  </si>
  <si>
    <t>Wolf</t>
  </si>
  <si>
    <t>Wolfskin</t>
  </si>
  <si>
    <t>Fists</t>
  </si>
  <si>
    <t>Nunchuks</t>
  </si>
  <si>
    <t>Shiruken</t>
  </si>
  <si>
    <t>ItemType</t>
  </si>
  <si>
    <t>Food</t>
  </si>
  <si>
    <t>Bandage</t>
  </si>
  <si>
    <t>Bearclaws</t>
  </si>
  <si>
    <t>ItemId</t>
  </si>
  <si>
    <t>RoomId</t>
  </si>
  <si>
    <t>NPCId</t>
  </si>
  <si>
    <t>Torture Chamber</t>
  </si>
  <si>
    <t>Description</t>
  </si>
  <si>
    <t>Temple</t>
  </si>
  <si>
    <t>Tomb</t>
  </si>
  <si>
    <t>Chasm</t>
  </si>
  <si>
    <t>Exit</t>
  </si>
  <si>
    <t>Lair</t>
  </si>
  <si>
    <t>Shrine</t>
  </si>
  <si>
    <t>A fierce grizzly bear, with razor sharp claws and immense power</t>
  </si>
  <si>
    <t>A snarling wolf, agile and ferocious, with a tremendous strength in its snapping jaws</t>
  </si>
  <si>
    <t>Image</t>
  </si>
  <si>
    <t>PixelBear.jpg</t>
  </si>
  <si>
    <t>PixelWolf.png</t>
  </si>
  <si>
    <t>Attack</t>
  </si>
  <si>
    <t>Defence</t>
  </si>
  <si>
    <t>StaminaCost</t>
  </si>
  <si>
    <t>ManaCost</t>
  </si>
  <si>
    <t>Nothing</t>
  </si>
  <si>
    <t>The gloomy entrance hall is filled with darkened corners and shadows that leap in the corner of your eye, thanks to the flickering torches that are sparsely placed on the walls.</t>
  </si>
  <si>
    <t>A monstrous place, filled with all the horrific devices to inflect pain and suffering you can imagine, as well as countless more you couldn't even identify.</t>
  </si>
  <si>
    <t>Which deity was this temple built to worship?  You cannot tell, but whichever it was you doubt they were benevolent.  The blood stains that cover nearly every surface tell a tale of centuries of sacrifices made to appease the brutal, nameless god.</t>
  </si>
  <si>
    <t>Value</t>
  </si>
  <si>
    <t>Entrance Hall</t>
  </si>
  <si>
    <t>A vast cavern holds the remains of what must be hundreds of fallen warriors. You hear rats scurrying away from the sound of your footsteps.  In the darkness, you strain to hear if there are any more noises that may indicate you are not alone.</t>
  </si>
  <si>
    <t>Meanie</t>
  </si>
  <si>
    <t>A flying meanie, desperate to sink his meanie fangs into you</t>
  </si>
  <si>
    <t>A medium-sized room, however it is split in two by a gaping chasm revealing a churning lake of molten lava below.  The heat is intense.</t>
  </si>
  <si>
    <t>Banqueting Hall</t>
  </si>
  <si>
    <t>A surprisingly formal room dominated by a long banqueting table, covered in chargers of rotting meat and flagons of foul smelling drink.  Who would be feasting in the depths of the dungeon?</t>
  </si>
  <si>
    <t>The home of a giant creature, which has built a nest for itself.  Fortunately, the creature is not at home - whatever it is.</t>
  </si>
  <si>
    <t>A simple yet obviously devout shrine dedicated to a forgotten minor-deity.</t>
  </si>
  <si>
    <t>The end of the dungeon.  You see daylight, after becoming convinced you would be trapped in the dungeon forever.</t>
  </si>
  <si>
    <t>Inventory</t>
  </si>
  <si>
    <t>Current HP</t>
  </si>
  <si>
    <t>Max HP</t>
  </si>
  <si>
    <t>Current Stamina</t>
  </si>
  <si>
    <t>Max Stamina</t>
  </si>
  <si>
    <t>Current Mana</t>
  </si>
  <si>
    <t>Max Mana</t>
  </si>
  <si>
    <t>Current Dungeon</t>
  </si>
  <si>
    <t>Current Room</t>
  </si>
  <si>
    <t>Player Name</t>
  </si>
  <si>
    <t>StartingHealthUpperBound</t>
  </si>
  <si>
    <t>StartingAttackUpperBound</t>
  </si>
  <si>
    <t>StartingDefenceUpperBound</t>
  </si>
  <si>
    <t>StartingStaminaUpperBound</t>
  </si>
  <si>
    <t>StartingManaUpperBound</t>
  </si>
  <si>
    <t>StartingLuckUpperBound</t>
  </si>
  <si>
    <t>The Depths of Despair</t>
  </si>
  <si>
    <t>Luck</t>
  </si>
  <si>
    <t>Room Description</t>
  </si>
  <si>
    <t>Sally</t>
  </si>
  <si>
    <t>Action Description</t>
  </si>
  <si>
    <t>Name:</t>
  </si>
  <si>
    <t>Mana:</t>
  </si>
  <si>
    <t>Stamina:</t>
  </si>
  <si>
    <t>Health:</t>
  </si>
  <si>
    <t>Base Attack Skill:</t>
  </si>
  <si>
    <t>Base Defend Skill:</t>
  </si>
  <si>
    <t>Luck:</t>
  </si>
  <si>
    <t>Inventory:</t>
  </si>
  <si>
    <t>Equipped Weapon:</t>
  </si>
  <si>
    <t>Equipped Spell:</t>
  </si>
  <si>
    <t xml:space="preserve"> </t>
  </si>
  <si>
    <t>Troll</t>
  </si>
  <si>
    <t>Trollstooth</t>
  </si>
  <si>
    <t>Club</t>
  </si>
  <si>
    <t>A towering troll who looks like a rockformation come to life</t>
  </si>
  <si>
    <t>Eye of ogre</t>
  </si>
  <si>
    <t>Cyclops</t>
  </si>
  <si>
    <t>A one-eyed ogre, with matted hair all over its misshapen body</t>
  </si>
  <si>
    <t>Meaniefangs</t>
  </si>
  <si>
    <t>Wolffangs</t>
  </si>
  <si>
    <t>Bandit</t>
  </si>
  <si>
    <t>A grizzled bandit, looking to kill you and steal you belongings</t>
  </si>
  <si>
    <t>A bearskin</t>
  </si>
  <si>
    <t>A wolfskin</t>
  </si>
  <si>
    <t>A trollstooth</t>
  </si>
  <si>
    <t>An ogre's eye</t>
  </si>
  <si>
    <t>Dungeon:</t>
  </si>
  <si>
    <t>r</t>
  </si>
  <si>
    <t>g</t>
  </si>
  <si>
    <t>b</t>
  </si>
  <si>
    <t>Encounter:</t>
  </si>
  <si>
    <t>Player:</t>
  </si>
  <si>
    <t>Fireball Spell</t>
  </si>
  <si>
    <t>Frostblast Spell</t>
  </si>
  <si>
    <t>Id</t>
  </si>
  <si>
    <t>St Elmo's Fire</t>
  </si>
  <si>
    <t>Brewer's Droop</t>
  </si>
  <si>
    <t>Monkey See Monkey Do</t>
  </si>
  <si>
    <t>Hakuna Matata</t>
  </si>
  <si>
    <t>All Good Things</t>
  </si>
  <si>
    <t>17 / 17</t>
  </si>
  <si>
    <t>6</t>
  </si>
  <si>
    <t>Biffer</t>
  </si>
  <si>
    <t>Designed to BIFF MEANIES</t>
  </si>
  <si>
    <t>Heal Spell</t>
  </si>
  <si>
    <t>10 / 10</t>
  </si>
  <si>
    <t>2</t>
  </si>
  <si>
    <t>Ignus Dragonicus</t>
  </si>
  <si>
    <t>Zombie</t>
  </si>
  <si>
    <t>A re-animated corpse, shuffling straight at you with arms outstretched.  "BRAAAAAAAINNNNNNSSSSSSS"</t>
  </si>
  <si>
    <t>The gloomy entrance hall is filled with darkened corners and shadows that leap in the corner of your eye, thanks to the flickering torches that are sparsely placed on the walls. You also see:  1 Club.1 Fireball Spell.1 Special Sword.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</si>
</sst>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000000"/>
      <name val="Calibri"/>
      <family val="2"/>
    </font>
    <font>
      <sz val="11"/>
      <color rgb="FFFF0000"/>
      <name val="Calibri"/>
      <family val="2"/>
      <scheme val="minor"/>
    </font>
    <font>
      <sz val="11"/>
      <name val="Calibri"/>
      <family val="2"/>
      <scheme val="minor"/>
    </font>
  </fonts>
  <fills count="4">
    <fill>
      <patternFill patternType="none"/>
    </fill>
    <fill>
      <patternFill patternType="gray125"/>
    </fill>
    <fill>
      <patternFill patternType="solid">
        <fgColor rgb="FF808080"/>
        <bgColor indexed="64"/>
      </patternFill>
    </fill>
    <fill>
      <patternFill patternType="solid">
        <fgColor rgb="FFFFFFFF"/>
        <bgColor indexed="64"/>
      </patternFill>
    </fill>
  </fills>
  <borders count="11">
    <border>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s>
  <cellStyleXfs count="1">
    <xf numFmtId="0" fontId="0" fillId="0" borderId="0"/>
  </cellStyleXfs>
  <cellXfs count="20">
    <xf numFmtId="0" fontId="0" fillId="0" borderId="0" xfId="0"/>
    <xf numFmtId="0" fontId="0" fillId="0" borderId="0" xfId="0" applyAlignment="1">
      <alignment horizontal="center"/>
    </xf>
    <xf numFmtId="16" fontId="0" fillId="0" borderId="0" xfId="0" quotePrefix="1" applyNumberFormat="1" applyAlignment="1">
      <alignment horizontal="center"/>
    </xf>
    <xf numFmtId="0" fontId="0" fillId="0" borderId="0" xfId="0" quotePrefix="1" applyAlignment="1">
      <alignment horizontal="center"/>
    </xf>
    <xf numFmtId="0" fontId="0" fillId="2" borderId="0" xfId="0" applyFill="1" applyBorder="1"/>
    <xf numFmtId="0" fontId="2" fillId="2" borderId="0" xfId="0" applyFont="1" applyFill="1" applyBorder="1"/>
    <xf numFmtId="0" fontId="3" fillId="3" borderId="0" xfId="0" applyFont="1" applyFill="1" applyBorder="1" applyAlignment="1">
      <alignment horizontal="left"/>
    </xf>
    <xf numFmtId="0" fontId="3" fillId="2" borderId="0" xfId="0" applyFont="1" applyFill="1" applyBorder="1"/>
    <xf numFmtId="0" fontId="3" fillId="3" borderId="0"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3" fillId="3" borderId="1" xfId="0" applyFont="1" applyFill="1" applyBorder="1"/>
    <xf numFmtId="0" fontId="3" fillId="3" borderId="2" xfId="0" applyFont="1" applyFill="1" applyBorder="1"/>
    <xf numFmtId="0" fontId="3" fillId="3" borderId="3" xfId="0" applyFont="1" applyFill="1" applyBorder="1"/>
    <xf numFmtId="0" fontId="3" fillId="3" borderId="9" xfId="0" applyFont="1" applyFill="1" applyBorder="1"/>
    <xf numFmtId="0" fontId="3" fillId="3" borderId="10" xfId="0" applyFont="1" applyFill="1" applyBorder="1"/>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2606040</xdr:colOff>
          <xdr:row>2</xdr:row>
          <xdr:rowOff>160020</xdr:rowOff>
        </xdr:from>
        <xdr:to>
          <xdr:col>3</xdr:col>
          <xdr:colOff>381000</xdr:colOff>
          <xdr:row>4</xdr:row>
          <xdr:rowOff>0</xdr:rowOff>
        </xdr:to>
        <xdr:sp macro="" textlink="">
          <xdr:nvSpPr>
            <xdr:cNvPr id="6145" name="btnStart"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Start Game!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723900</xdr:colOff>
          <xdr:row>2</xdr:row>
          <xdr:rowOff>137160</xdr:rowOff>
        </xdr:from>
        <xdr:to>
          <xdr:col>4</xdr:col>
          <xdr:colOff>662940</xdr:colOff>
          <xdr:row>4</xdr:row>
          <xdr:rowOff>0</xdr:rowOff>
        </xdr:to>
        <xdr:sp macro="" textlink="">
          <xdr:nvSpPr>
            <xdr:cNvPr id="6146" name="btnTake"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Take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xdr:row>
          <xdr:rowOff>114300</xdr:rowOff>
        </xdr:from>
        <xdr:to>
          <xdr:col>11</xdr:col>
          <xdr:colOff>388620</xdr:colOff>
          <xdr:row>4</xdr:row>
          <xdr:rowOff>7620</xdr:rowOff>
        </xdr:to>
        <xdr:sp macro="" textlink="">
          <xdr:nvSpPr>
            <xdr:cNvPr id="6148" name="btnMove"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Move Onwards!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53340</xdr:colOff>
          <xdr:row>2</xdr:row>
          <xdr:rowOff>144780</xdr:rowOff>
        </xdr:from>
        <xdr:to>
          <xdr:col>9</xdr:col>
          <xdr:colOff>83820</xdr:colOff>
          <xdr:row>4</xdr:row>
          <xdr:rowOff>15240</xdr:rowOff>
        </xdr:to>
        <xdr:sp macro="" textlink="">
          <xdr:nvSpPr>
            <xdr:cNvPr id="6149" name="btnAttack"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Attack!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4</xdr:row>
          <xdr:rowOff>137160</xdr:rowOff>
        </xdr:from>
        <xdr:to>
          <xdr:col>9</xdr:col>
          <xdr:colOff>91440</xdr:colOff>
          <xdr:row>6</xdr:row>
          <xdr:rowOff>30480</xdr:rowOff>
        </xdr:to>
        <xdr:sp macro="" textlink="">
          <xdr:nvSpPr>
            <xdr:cNvPr id="6150" name="btnRest" hidden="1">
              <a:extLst>
                <a:ext uri="{63B3BB69-23CF-44E3-9099-C40C66FF867C}">
                  <a14:compatExt spid="_x0000_s6150"/>
                </a:ext>
                <a:ext uri="{FF2B5EF4-FFF2-40B4-BE49-F238E27FC236}">
                  <a16:creationId xmlns:a16="http://schemas.microsoft.com/office/drawing/2014/main" id="{00000000-0008-0000-00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403860</xdr:colOff>
          <xdr:row>4</xdr:row>
          <xdr:rowOff>167640</xdr:rowOff>
        </xdr:from>
        <xdr:to>
          <xdr:col>11</xdr:col>
          <xdr:colOff>594360</xdr:colOff>
          <xdr:row>6</xdr:row>
          <xdr:rowOff>68580</xdr:rowOff>
        </xdr:to>
        <xdr:sp macro="" textlink="">
          <xdr:nvSpPr>
            <xdr:cNvPr id="6151" name="btnHeal" hidden="1">
              <a:extLst>
                <a:ext uri="{63B3BB69-23CF-44E3-9099-C40C66FF867C}">
                  <a14:compatExt spid="_x0000_s6151"/>
                </a:ext>
                <a:ext uri="{FF2B5EF4-FFF2-40B4-BE49-F238E27FC236}">
                  <a16:creationId xmlns:a16="http://schemas.microsoft.com/office/drawing/2014/main" id="{00000000-0008-0000-0000-00000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Heal!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A3AAC-D6F3-47A4-B367-94ADB1214625}">
  <sheetPr codeName="Sheet7"/>
  <dimension ref="A1:M12"/>
  <sheetViews>
    <sheetView tabSelected="1" zoomScale="96" zoomScaleNormal="136" workbookViewId="0">
      <selection activeCell="C15" sqref="C15"/>
    </sheetView>
  </sheetViews>
  <sheetFormatPr defaultRowHeight="14.4" x14ac:dyDescent="0.3"/>
  <cols>
    <col min="1" max="1" width="17" customWidth="1"/>
    <col min="2" max="2" width="19.88671875" customWidth="1"/>
    <col min="3" max="3" width="7.21875" bestFit="1" customWidth="1"/>
    <col min="4" max="4" width="14.21875" bestFit="1" customWidth="1"/>
    <col min="5" max="5" width="11.5546875" bestFit="1" customWidth="1"/>
    <col min="6" max="6" width="12.21875" bestFit="1" customWidth="1"/>
    <col min="7" max="7" width="9.6640625" bestFit="1" customWidth="1"/>
    <col min="10" max="10" width="16.44140625" bestFit="1" customWidth="1"/>
  </cols>
  <sheetData>
    <row r="1" spans="1:13" x14ac:dyDescent="0.3">
      <c r="A1" t="s">
        <v>69</v>
      </c>
      <c r="B1" t="s">
        <v>61</v>
      </c>
      <c r="C1" t="s">
        <v>62</v>
      </c>
      <c r="D1" t="s">
        <v>63</v>
      </c>
      <c r="E1" t="s">
        <v>64</v>
      </c>
      <c r="F1" t="s">
        <v>65</v>
      </c>
      <c r="G1" t="s">
        <v>66</v>
      </c>
      <c r="H1" t="s">
        <v>77</v>
      </c>
      <c r="I1" t="s">
        <v>91</v>
      </c>
      <c r="J1" t="s">
        <v>89</v>
      </c>
      <c r="K1" t="s">
        <v>18</v>
      </c>
      <c r="M1" t="s">
        <v>60</v>
      </c>
    </row>
    <row r="2" spans="1:13" x14ac:dyDescent="0.3">
      <c r="A2" t="s">
        <v>79</v>
      </c>
      <c r="B2">
        <v>17</v>
      </c>
      <c r="C2">
        <v>17</v>
      </c>
      <c r="D2">
        <v>10</v>
      </c>
      <c r="E2">
        <v>10</v>
      </c>
      <c r="F2">
        <v>10</v>
      </c>
      <c r="G2">
        <v>10</v>
      </c>
      <c r="H2">
        <v>2</v>
      </c>
    </row>
    <row r="5" spans="1:13" x14ac:dyDescent="0.3">
      <c r="A5" t="s">
        <v>67</v>
      </c>
      <c r="B5" t="s">
        <v>76</v>
      </c>
    </row>
    <row r="6" spans="1:13" x14ac:dyDescent="0.3">
      <c r="A6" t="s">
        <v>68</v>
      </c>
      <c r="B6" t="s">
        <v>50</v>
      </c>
    </row>
    <row r="8" spans="1:13" x14ac:dyDescent="0.3">
      <c r="A8" t="s">
        <v>78</v>
      </c>
    </row>
    <row r="9" spans="1:13" x14ac:dyDescent="0.3">
      <c r="A9" s="19" t="s">
        <v>131</v>
      </c>
      <c r="B9" s="19"/>
      <c r="C9" s="19"/>
      <c r="D9" s="19"/>
      <c r="E9" s="19"/>
      <c r="F9" s="19"/>
      <c r="G9" s="19"/>
      <c r="H9" s="19"/>
      <c r="I9" s="19"/>
      <c r="J9" s="19"/>
      <c r="K9" s="19"/>
    </row>
    <row r="10" spans="1:13" x14ac:dyDescent="0.3">
      <c r="A10" s="19"/>
      <c r="B10" s="19"/>
      <c r="C10" s="19"/>
      <c r="D10" s="19"/>
      <c r="E10" s="19"/>
      <c r="F10" s="19"/>
      <c r="G10" s="19"/>
      <c r="H10" s="19"/>
      <c r="I10" s="19"/>
      <c r="J10" s="19"/>
      <c r="K10" s="19"/>
    </row>
    <row r="12" spans="1:13" x14ac:dyDescent="0.3">
      <c r="A12" t="s">
        <v>80</v>
      </c>
    </row>
  </sheetData>
  <dataConsolidate/>
  <mergeCells count="1">
    <mergeCell ref="A9:K10"/>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tnStart">
              <controlPr defaultSize="0" print="0" autoFill="0" autoPict="0" macro="[0]!StartGame">
                <anchor moveWithCells="1" sizeWithCells="1">
                  <from>
                    <xdr:col>1</xdr:col>
                    <xdr:colOff>2606040</xdr:colOff>
                    <xdr:row>2</xdr:row>
                    <xdr:rowOff>160020</xdr:rowOff>
                  </from>
                  <to>
                    <xdr:col>3</xdr:col>
                    <xdr:colOff>381000</xdr:colOff>
                    <xdr:row>4</xdr:row>
                    <xdr:rowOff>0</xdr:rowOff>
                  </to>
                </anchor>
              </controlPr>
            </control>
          </mc:Choice>
        </mc:AlternateContent>
        <mc:AlternateContent xmlns:mc="http://schemas.openxmlformats.org/markup-compatibility/2006">
          <mc:Choice Requires="x14">
            <control shapeId="6146" r:id="rId5" name="btnTake">
              <controlPr defaultSize="0" print="0" disabled="1" autoFill="0" autoPict="0" macro="[0]!TakeItems">
                <anchor moveWithCells="1" sizeWithCells="1">
                  <from>
                    <xdr:col>3</xdr:col>
                    <xdr:colOff>723900</xdr:colOff>
                    <xdr:row>2</xdr:row>
                    <xdr:rowOff>137160</xdr:rowOff>
                  </from>
                  <to>
                    <xdr:col>4</xdr:col>
                    <xdr:colOff>662940</xdr:colOff>
                    <xdr:row>4</xdr:row>
                    <xdr:rowOff>0</xdr:rowOff>
                  </to>
                </anchor>
              </controlPr>
            </control>
          </mc:Choice>
        </mc:AlternateContent>
        <mc:AlternateContent xmlns:mc="http://schemas.openxmlformats.org/markup-compatibility/2006">
          <mc:Choice Requires="x14">
            <control shapeId="6148" r:id="rId6" name="btnMove">
              <controlPr defaultSize="0" print="0" autoFill="0" autoPict="0" macro="[0]!MoveOn">
                <anchor moveWithCells="1" sizeWithCells="1">
                  <from>
                    <xdr:col>9</xdr:col>
                    <xdr:colOff>304800</xdr:colOff>
                    <xdr:row>2</xdr:row>
                    <xdr:rowOff>114300</xdr:rowOff>
                  </from>
                  <to>
                    <xdr:col>11</xdr:col>
                    <xdr:colOff>388620</xdr:colOff>
                    <xdr:row>4</xdr:row>
                    <xdr:rowOff>7620</xdr:rowOff>
                  </to>
                </anchor>
              </controlPr>
            </control>
          </mc:Choice>
        </mc:AlternateContent>
        <mc:AlternateContent xmlns:mc="http://schemas.openxmlformats.org/markup-compatibility/2006">
          <mc:Choice Requires="x14">
            <control shapeId="6149" r:id="rId7" name="btnAttack">
              <controlPr defaultSize="0" print="0" autoFill="0" autoPict="0" macro="[0]!Attack">
                <anchor moveWithCells="1" sizeWithCells="1">
                  <from>
                    <xdr:col>7</xdr:col>
                    <xdr:colOff>53340</xdr:colOff>
                    <xdr:row>2</xdr:row>
                    <xdr:rowOff>144780</xdr:rowOff>
                  </from>
                  <to>
                    <xdr:col>9</xdr:col>
                    <xdr:colOff>83820</xdr:colOff>
                    <xdr:row>4</xdr:row>
                    <xdr:rowOff>15240</xdr:rowOff>
                  </to>
                </anchor>
              </controlPr>
            </control>
          </mc:Choice>
        </mc:AlternateContent>
        <mc:AlternateContent xmlns:mc="http://schemas.openxmlformats.org/markup-compatibility/2006">
          <mc:Choice Requires="x14">
            <control shapeId="6150" r:id="rId8" name="btnRest">
              <controlPr defaultSize="0" print="0" autoFill="0" autoPict="0" macro="[0]!Rest">
                <anchor moveWithCells="1" sizeWithCells="1">
                  <from>
                    <xdr:col>7</xdr:col>
                    <xdr:colOff>76200</xdr:colOff>
                    <xdr:row>4</xdr:row>
                    <xdr:rowOff>137160</xdr:rowOff>
                  </from>
                  <to>
                    <xdr:col>9</xdr:col>
                    <xdr:colOff>91440</xdr:colOff>
                    <xdr:row>6</xdr:row>
                    <xdr:rowOff>30480</xdr:rowOff>
                  </to>
                </anchor>
              </controlPr>
            </control>
          </mc:Choice>
        </mc:AlternateContent>
        <mc:AlternateContent xmlns:mc="http://schemas.openxmlformats.org/markup-compatibility/2006">
          <mc:Choice Requires="x14">
            <control shapeId="6151" r:id="rId9" name="btnHeal">
              <controlPr defaultSize="0" print="0" autoFill="0" autoPict="0" macro="[0]!Heal">
                <anchor moveWithCells="1" sizeWithCells="1">
                  <from>
                    <xdr:col>9</xdr:col>
                    <xdr:colOff>403860</xdr:colOff>
                    <xdr:row>4</xdr:row>
                    <xdr:rowOff>167640</xdr:rowOff>
                  </from>
                  <to>
                    <xdr:col>11</xdr:col>
                    <xdr:colOff>594360</xdr:colOff>
                    <xdr:row>6</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CD49F-6B48-4BB9-9F0D-0E0DEA655118}">
  <sheetPr codeName="Sheet9"/>
  <dimension ref="A1:K8"/>
  <sheetViews>
    <sheetView workbookViewId="0">
      <selection activeCell="F2" sqref="F2"/>
    </sheetView>
  </sheetViews>
  <sheetFormatPr defaultRowHeight="14.4" x14ac:dyDescent="0.3"/>
  <cols>
    <col min="1" max="1" width="15.44140625" bestFit="1" customWidth="1"/>
    <col min="2" max="2" width="8.88671875" style="1"/>
    <col min="10" max="10" width="16.44140625" bestFit="1" customWidth="1"/>
  </cols>
  <sheetData>
    <row r="1" spans="1:11" x14ac:dyDescent="0.3">
      <c r="A1" t="s">
        <v>81</v>
      </c>
      <c r="B1" s="1" t="s">
        <v>79</v>
      </c>
      <c r="E1" t="s">
        <v>88</v>
      </c>
      <c r="J1" t="s">
        <v>89</v>
      </c>
      <c r="K1" t="s">
        <v>18</v>
      </c>
    </row>
    <row r="2" spans="1:11" x14ac:dyDescent="0.3">
      <c r="J2" t="s">
        <v>90</v>
      </c>
    </row>
    <row r="3" spans="1:11" x14ac:dyDescent="0.3">
      <c r="A3" t="s">
        <v>84</v>
      </c>
      <c r="B3" s="2" t="s">
        <v>121</v>
      </c>
    </row>
    <row r="4" spans="1:11" x14ac:dyDescent="0.3">
      <c r="A4" t="s">
        <v>83</v>
      </c>
      <c r="B4" s="2" t="s">
        <v>126</v>
      </c>
    </row>
    <row r="5" spans="1:11" x14ac:dyDescent="0.3">
      <c r="A5" t="s">
        <v>82</v>
      </c>
      <c r="B5" s="2" t="s">
        <v>126</v>
      </c>
    </row>
    <row r="6" spans="1:11" x14ac:dyDescent="0.3">
      <c r="A6" t="s">
        <v>85</v>
      </c>
      <c r="B6" s="3" t="s">
        <v>122</v>
      </c>
    </row>
    <row r="7" spans="1:11" x14ac:dyDescent="0.3">
      <c r="A7" t="s">
        <v>86</v>
      </c>
      <c r="B7" s="3" t="s">
        <v>122</v>
      </c>
    </row>
    <row r="8" spans="1:11" x14ac:dyDescent="0.3">
      <c r="A8" t="s">
        <v>87</v>
      </c>
      <c r="B8" s="3" t="s">
        <v>127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EAE15-CCE4-4294-84BF-49C20C108893}">
  <sheetPr codeName="Sheet2"/>
  <dimension ref="A1:L2"/>
  <sheetViews>
    <sheetView workbookViewId="0">
      <selection activeCell="G2" sqref="G2"/>
    </sheetView>
  </sheetViews>
  <sheetFormatPr defaultRowHeight="14.4" x14ac:dyDescent="0.3"/>
  <sheetData>
    <row r="1" spans="1:12" x14ac:dyDescent="0.3">
      <c r="A1" t="s">
        <v>0</v>
      </c>
      <c r="B1" t="s">
        <v>70</v>
      </c>
      <c r="C1" t="s">
        <v>6</v>
      </c>
      <c r="D1" t="s">
        <v>10</v>
      </c>
      <c r="E1" t="s">
        <v>8</v>
      </c>
      <c r="F1" t="s">
        <v>71</v>
      </c>
      <c r="G1" t="s">
        <v>72</v>
      </c>
      <c r="H1" t="s">
        <v>7</v>
      </c>
      <c r="I1" t="s">
        <v>11</v>
      </c>
      <c r="J1" t="s">
        <v>73</v>
      </c>
      <c r="K1" t="s">
        <v>74</v>
      </c>
      <c r="L1" t="s">
        <v>75</v>
      </c>
    </row>
    <row r="2" spans="1:12" x14ac:dyDescent="0.3">
      <c r="A2" t="s">
        <v>79</v>
      </c>
      <c r="B2">
        <v>20</v>
      </c>
      <c r="E2" t="s">
        <v>9</v>
      </c>
      <c r="F2">
        <v>9</v>
      </c>
      <c r="G2">
        <v>9</v>
      </c>
      <c r="J2">
        <v>20</v>
      </c>
      <c r="K2">
        <v>20</v>
      </c>
      <c r="L2">
        <v>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F7F6B-456F-4EEE-BFF3-C87D5FBB57AF}">
  <sheetPr codeName="Sheet4"/>
  <dimension ref="A1:H23"/>
  <sheetViews>
    <sheetView workbookViewId="0">
      <selection activeCell="F15" sqref="F15"/>
    </sheetView>
  </sheetViews>
  <sheetFormatPr defaultRowHeight="14.4" x14ac:dyDescent="0.3"/>
  <cols>
    <col min="2" max="2" width="31.21875" bestFit="1" customWidth="1"/>
  </cols>
  <sheetData>
    <row r="1" spans="1:8" x14ac:dyDescent="0.3">
      <c r="A1" t="s">
        <v>25</v>
      </c>
      <c r="B1" t="s">
        <v>0</v>
      </c>
      <c r="C1" t="s">
        <v>2</v>
      </c>
      <c r="D1" t="s">
        <v>21</v>
      </c>
      <c r="E1" t="s">
        <v>43</v>
      </c>
      <c r="F1" t="s">
        <v>44</v>
      </c>
      <c r="G1" t="s">
        <v>49</v>
      </c>
      <c r="H1" t="s">
        <v>29</v>
      </c>
    </row>
    <row r="2" spans="1:8" x14ac:dyDescent="0.3">
      <c r="A2">
        <v>1</v>
      </c>
      <c r="B2" t="s">
        <v>9</v>
      </c>
      <c r="C2">
        <v>3</v>
      </c>
      <c r="D2">
        <v>2</v>
      </c>
      <c r="E2">
        <v>1</v>
      </c>
      <c r="F2">
        <v>0</v>
      </c>
      <c r="G2">
        <v>5</v>
      </c>
      <c r="H2" t="str">
        <f>"Does "&amp;C2&amp;" damage"</f>
        <v>Does 3 damage</v>
      </c>
    </row>
    <row r="3" spans="1:8" x14ac:dyDescent="0.3">
      <c r="A3">
        <v>2</v>
      </c>
      <c r="B3" t="s">
        <v>13</v>
      </c>
      <c r="C3">
        <v>3</v>
      </c>
      <c r="D3">
        <v>2</v>
      </c>
      <c r="E3">
        <v>5</v>
      </c>
      <c r="F3">
        <v>0</v>
      </c>
      <c r="G3">
        <v>6</v>
      </c>
      <c r="H3" t="str">
        <f>"Does "&amp;C3&amp;" damage"</f>
        <v>Does 3 damage</v>
      </c>
    </row>
    <row r="4" spans="1:8" x14ac:dyDescent="0.3">
      <c r="A4">
        <v>3</v>
      </c>
      <c r="B4" t="s">
        <v>14</v>
      </c>
      <c r="C4">
        <v>2</v>
      </c>
      <c r="D4">
        <v>2</v>
      </c>
      <c r="E4">
        <v>3</v>
      </c>
      <c r="F4">
        <v>0</v>
      </c>
      <c r="G4">
        <v>2</v>
      </c>
      <c r="H4" t="str">
        <f>"Does "&amp;C4&amp;" damage"</f>
        <v>Does 2 damage</v>
      </c>
    </row>
    <row r="5" spans="1:8" x14ac:dyDescent="0.3">
      <c r="A5">
        <v>4</v>
      </c>
      <c r="B5" t="s">
        <v>15</v>
      </c>
      <c r="C5">
        <v>2</v>
      </c>
      <c r="D5">
        <v>2</v>
      </c>
      <c r="E5">
        <v>2</v>
      </c>
      <c r="F5">
        <v>0</v>
      </c>
      <c r="G5">
        <v>0</v>
      </c>
      <c r="H5" t="str">
        <f t="shared" ref="H5:H8" si="0">"Does "&amp;C5&amp;" damage"</f>
        <v>Does 2 damage</v>
      </c>
    </row>
    <row r="6" spans="1:8" x14ac:dyDescent="0.3">
      <c r="A6">
        <v>5</v>
      </c>
      <c r="B6" t="s">
        <v>18</v>
      </c>
      <c r="C6">
        <v>1</v>
      </c>
      <c r="D6">
        <v>6</v>
      </c>
      <c r="E6">
        <v>2</v>
      </c>
      <c r="F6">
        <v>0</v>
      </c>
      <c r="G6">
        <v>0</v>
      </c>
      <c r="H6" t="str">
        <f t="shared" si="0"/>
        <v>Does 1 damage</v>
      </c>
    </row>
    <row r="7" spans="1:8" x14ac:dyDescent="0.3">
      <c r="A7">
        <v>6</v>
      </c>
      <c r="B7" t="s">
        <v>19</v>
      </c>
      <c r="C7">
        <v>2</v>
      </c>
      <c r="D7">
        <v>2</v>
      </c>
      <c r="E7">
        <v>3</v>
      </c>
      <c r="F7">
        <v>0</v>
      </c>
      <c r="G7">
        <v>5</v>
      </c>
      <c r="H7" t="str">
        <f t="shared" si="0"/>
        <v>Does 2 damage</v>
      </c>
    </row>
    <row r="8" spans="1:8" x14ac:dyDescent="0.3">
      <c r="A8">
        <v>7</v>
      </c>
      <c r="B8" t="s">
        <v>20</v>
      </c>
      <c r="C8">
        <v>2</v>
      </c>
      <c r="D8">
        <v>2</v>
      </c>
      <c r="E8">
        <v>2</v>
      </c>
      <c r="F8">
        <v>0</v>
      </c>
      <c r="G8">
        <v>2</v>
      </c>
      <c r="H8" t="str">
        <f t="shared" si="0"/>
        <v>Does 2 damage</v>
      </c>
    </row>
    <row r="9" spans="1:8" x14ac:dyDescent="0.3">
      <c r="A9">
        <v>8</v>
      </c>
      <c r="B9" t="s">
        <v>22</v>
      </c>
      <c r="C9">
        <v>-3</v>
      </c>
      <c r="D9">
        <v>3</v>
      </c>
      <c r="E9">
        <v>0</v>
      </c>
      <c r="F9">
        <v>0</v>
      </c>
      <c r="G9">
        <v>4</v>
      </c>
      <c r="H9" t="str">
        <f>"Heals " &amp; C9*-1 &amp; " health"</f>
        <v>Heals 3 health</v>
      </c>
    </row>
    <row r="10" spans="1:8" x14ac:dyDescent="0.3">
      <c r="A10">
        <v>9</v>
      </c>
      <c r="B10" t="s">
        <v>23</v>
      </c>
      <c r="C10">
        <v>-5</v>
      </c>
      <c r="D10">
        <v>3</v>
      </c>
      <c r="E10">
        <v>0</v>
      </c>
      <c r="F10">
        <v>0</v>
      </c>
      <c r="G10">
        <v>2</v>
      </c>
      <c r="H10" t="str">
        <f>"Heals " &amp; C10*-1 &amp; " health"</f>
        <v>Heals 5 health</v>
      </c>
    </row>
    <row r="11" spans="1:8" x14ac:dyDescent="0.3">
      <c r="A11">
        <v>10</v>
      </c>
      <c r="B11" t="s">
        <v>24</v>
      </c>
      <c r="C11">
        <v>3</v>
      </c>
      <c r="D11">
        <v>6</v>
      </c>
      <c r="E11">
        <v>1</v>
      </c>
      <c r="F11">
        <v>0</v>
      </c>
      <c r="G11">
        <v>0</v>
      </c>
      <c r="H11" t="str">
        <f t="shared" ref="H11:H12" si="1">"Does "&amp;C11&amp;" damage"</f>
        <v>Does 3 damage</v>
      </c>
    </row>
    <row r="12" spans="1:8" x14ac:dyDescent="0.3">
      <c r="A12">
        <v>11</v>
      </c>
      <c r="B12" t="s">
        <v>100</v>
      </c>
      <c r="C12">
        <v>2</v>
      </c>
      <c r="D12">
        <v>6</v>
      </c>
      <c r="E12">
        <v>1</v>
      </c>
      <c r="F12">
        <v>0</v>
      </c>
      <c r="G12">
        <v>0</v>
      </c>
      <c r="H12" t="str">
        <f t="shared" si="1"/>
        <v>Does 2 damage</v>
      </c>
    </row>
    <row r="13" spans="1:8" x14ac:dyDescent="0.3">
      <c r="A13">
        <v>12</v>
      </c>
      <c r="B13" t="s">
        <v>5</v>
      </c>
      <c r="C13">
        <v>0</v>
      </c>
      <c r="D13">
        <v>6</v>
      </c>
      <c r="E13">
        <v>0</v>
      </c>
      <c r="F13">
        <v>0</v>
      </c>
      <c r="G13">
        <v>10</v>
      </c>
      <c r="H13" t="s">
        <v>103</v>
      </c>
    </row>
    <row r="14" spans="1:8" x14ac:dyDescent="0.3">
      <c r="A14">
        <v>13</v>
      </c>
      <c r="B14" t="s">
        <v>17</v>
      </c>
      <c r="C14">
        <v>0</v>
      </c>
      <c r="D14">
        <v>6</v>
      </c>
      <c r="E14">
        <v>0</v>
      </c>
      <c r="F14">
        <v>0</v>
      </c>
      <c r="G14">
        <v>5</v>
      </c>
      <c r="H14" t="s">
        <v>104</v>
      </c>
    </row>
    <row r="15" spans="1:8" x14ac:dyDescent="0.3">
      <c r="A15">
        <v>14</v>
      </c>
      <c r="B15" t="s">
        <v>113</v>
      </c>
      <c r="C15">
        <v>5</v>
      </c>
      <c r="D15">
        <v>4</v>
      </c>
      <c r="E15">
        <v>0</v>
      </c>
      <c r="F15">
        <v>5</v>
      </c>
      <c r="G15">
        <v>10</v>
      </c>
      <c r="H15" t="str">
        <f t="shared" ref="H15" si="2">"Does "&amp;C15&amp;" damage"</f>
        <v>Does 5 damage</v>
      </c>
    </row>
    <row r="16" spans="1:8" x14ac:dyDescent="0.3">
      <c r="A16">
        <v>15</v>
      </c>
      <c r="B16" t="s">
        <v>125</v>
      </c>
      <c r="C16">
        <v>-5</v>
      </c>
      <c r="D16">
        <v>7</v>
      </c>
      <c r="E16">
        <v>0</v>
      </c>
      <c r="F16">
        <v>3</v>
      </c>
      <c r="G16">
        <v>10</v>
      </c>
      <c r="H16" t="str">
        <f>"Heals " &amp; C16*-1 &amp; " health"</f>
        <v>Heals 5 health</v>
      </c>
    </row>
    <row r="17" spans="1:8" x14ac:dyDescent="0.3">
      <c r="A17">
        <v>16</v>
      </c>
      <c r="B17" t="s">
        <v>45</v>
      </c>
      <c r="C17">
        <v>0</v>
      </c>
      <c r="D17">
        <v>5</v>
      </c>
      <c r="E17">
        <v>0</v>
      </c>
      <c r="F17">
        <v>0</v>
      </c>
      <c r="G17">
        <v>0</v>
      </c>
      <c r="H17" t="s">
        <v>45</v>
      </c>
    </row>
    <row r="18" spans="1:8" x14ac:dyDescent="0.3">
      <c r="A18">
        <v>17</v>
      </c>
      <c r="B18" t="s">
        <v>114</v>
      </c>
      <c r="C18">
        <v>5</v>
      </c>
      <c r="D18">
        <v>4</v>
      </c>
      <c r="E18">
        <v>0</v>
      </c>
      <c r="F18">
        <v>5</v>
      </c>
      <c r="G18">
        <v>10</v>
      </c>
      <c r="H18" t="str">
        <f t="shared" ref="H18" si="3">"Does "&amp;C18&amp;" damage"</f>
        <v>Does 5 damage</v>
      </c>
    </row>
    <row r="19" spans="1:8" x14ac:dyDescent="0.3">
      <c r="A19">
        <v>18</v>
      </c>
      <c r="B19" t="s">
        <v>99</v>
      </c>
      <c r="C19">
        <v>2</v>
      </c>
      <c r="D19">
        <v>6</v>
      </c>
      <c r="E19">
        <v>1</v>
      </c>
      <c r="F19">
        <v>0</v>
      </c>
      <c r="G19">
        <v>0</v>
      </c>
      <c r="H19" t="str">
        <f t="shared" ref="H19:H20" si="4">"Does "&amp;C19&amp;" damage"</f>
        <v>Does 2 damage</v>
      </c>
    </row>
    <row r="20" spans="1:8" x14ac:dyDescent="0.3">
      <c r="A20">
        <v>19</v>
      </c>
      <c r="B20" t="s">
        <v>94</v>
      </c>
      <c r="C20">
        <v>2</v>
      </c>
      <c r="D20">
        <v>2</v>
      </c>
      <c r="E20">
        <v>2</v>
      </c>
      <c r="F20">
        <v>0</v>
      </c>
      <c r="G20">
        <v>2</v>
      </c>
      <c r="H20" t="str">
        <f t="shared" si="4"/>
        <v>Does 2 damage</v>
      </c>
    </row>
    <row r="21" spans="1:8" x14ac:dyDescent="0.3">
      <c r="A21">
        <v>20</v>
      </c>
      <c r="B21" t="s">
        <v>93</v>
      </c>
      <c r="C21">
        <v>0</v>
      </c>
      <c r="D21">
        <v>6</v>
      </c>
      <c r="E21">
        <v>0</v>
      </c>
      <c r="F21">
        <v>0</v>
      </c>
      <c r="G21">
        <v>15</v>
      </c>
      <c r="H21" t="s">
        <v>105</v>
      </c>
    </row>
    <row r="22" spans="1:8" x14ac:dyDescent="0.3">
      <c r="A22">
        <v>21</v>
      </c>
      <c r="B22" t="s">
        <v>96</v>
      </c>
      <c r="C22">
        <v>0</v>
      </c>
      <c r="D22">
        <v>6</v>
      </c>
      <c r="E22">
        <v>0</v>
      </c>
      <c r="F22">
        <v>0</v>
      </c>
      <c r="G22">
        <v>20</v>
      </c>
      <c r="H22" t="s">
        <v>106</v>
      </c>
    </row>
    <row r="23" spans="1:8" x14ac:dyDescent="0.3">
      <c r="A23">
        <v>22</v>
      </c>
      <c r="B23" t="s">
        <v>123</v>
      </c>
      <c r="C23">
        <v>5</v>
      </c>
      <c r="D23">
        <v>2</v>
      </c>
      <c r="E23">
        <v>5</v>
      </c>
      <c r="F23">
        <v>0</v>
      </c>
      <c r="G23">
        <v>20</v>
      </c>
      <c r="H23" t="s">
        <v>124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E8C82-EDF3-4680-910E-5766B32C35BD}">
  <sheetPr codeName="Sheet1"/>
  <dimension ref="A1:B7"/>
  <sheetViews>
    <sheetView workbookViewId="0">
      <selection activeCell="B27" sqref="B27"/>
    </sheetView>
  </sheetViews>
  <sheetFormatPr defaultRowHeight="14.4" x14ac:dyDescent="0.3"/>
  <cols>
    <col min="2" max="2" width="20.88671875" bestFit="1" customWidth="1"/>
  </cols>
  <sheetData>
    <row r="1" spans="1:2" x14ac:dyDescent="0.3">
      <c r="A1" t="s">
        <v>115</v>
      </c>
      <c r="B1" t="s">
        <v>0</v>
      </c>
    </row>
    <row r="2" spans="1:2" x14ac:dyDescent="0.3">
      <c r="A2">
        <v>1</v>
      </c>
      <c r="B2" t="s">
        <v>116</v>
      </c>
    </row>
    <row r="3" spans="1:2" x14ac:dyDescent="0.3">
      <c r="A3">
        <v>2</v>
      </c>
      <c r="B3" t="s">
        <v>117</v>
      </c>
    </row>
    <row r="4" spans="1:2" x14ac:dyDescent="0.3">
      <c r="A4">
        <v>3</v>
      </c>
      <c r="B4" t="s">
        <v>118</v>
      </c>
    </row>
    <row r="5" spans="1:2" x14ac:dyDescent="0.3">
      <c r="A5">
        <v>4</v>
      </c>
      <c r="B5" t="s">
        <v>119</v>
      </c>
    </row>
    <row r="6" spans="1:2" x14ac:dyDescent="0.3">
      <c r="A6">
        <v>5</v>
      </c>
      <c r="B6" t="s">
        <v>120</v>
      </c>
    </row>
    <row r="7" spans="1:2" x14ac:dyDescent="0.3">
      <c r="A7">
        <v>6</v>
      </c>
      <c r="B7" t="s">
        <v>128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8CE97-3E12-41AD-AEAB-EBCD1EC80A62}">
  <sheetPr codeName="Sheet6"/>
  <dimension ref="A1:D10"/>
  <sheetViews>
    <sheetView workbookViewId="0">
      <selection activeCell="A34" sqref="A34"/>
    </sheetView>
  </sheetViews>
  <sheetFormatPr defaultRowHeight="14.4" x14ac:dyDescent="0.3"/>
  <cols>
    <col min="2" max="2" width="25.44140625" bestFit="1" customWidth="1"/>
    <col min="3" max="3" width="204.109375" bestFit="1" customWidth="1"/>
  </cols>
  <sheetData>
    <row r="1" spans="1:4" x14ac:dyDescent="0.3">
      <c r="A1" t="s">
        <v>26</v>
      </c>
      <c r="B1" t="s">
        <v>0</v>
      </c>
      <c r="C1" t="s">
        <v>29</v>
      </c>
      <c r="D1" t="s">
        <v>26</v>
      </c>
    </row>
    <row r="2" spans="1:4" x14ac:dyDescent="0.3">
      <c r="A2">
        <v>1</v>
      </c>
      <c r="B2" t="s">
        <v>50</v>
      </c>
      <c r="C2" t="s">
        <v>46</v>
      </c>
      <c r="D2">
        <v>1</v>
      </c>
    </row>
    <row r="3" spans="1:4" x14ac:dyDescent="0.3">
      <c r="A3">
        <v>2</v>
      </c>
      <c r="B3" t="s">
        <v>28</v>
      </c>
      <c r="C3" t="s">
        <v>47</v>
      </c>
      <c r="D3">
        <v>2</v>
      </c>
    </row>
    <row r="4" spans="1:4" x14ac:dyDescent="0.3">
      <c r="A4">
        <v>3</v>
      </c>
      <c r="B4" t="s">
        <v>30</v>
      </c>
      <c r="C4" t="s">
        <v>48</v>
      </c>
      <c r="D4">
        <v>3</v>
      </c>
    </row>
    <row r="5" spans="1:4" x14ac:dyDescent="0.3">
      <c r="A5">
        <v>4</v>
      </c>
      <c r="B5" t="s">
        <v>31</v>
      </c>
      <c r="C5" t="s">
        <v>51</v>
      </c>
      <c r="D5">
        <v>4</v>
      </c>
    </row>
    <row r="6" spans="1:4" x14ac:dyDescent="0.3">
      <c r="A6">
        <v>5</v>
      </c>
      <c r="B6" t="s">
        <v>32</v>
      </c>
      <c r="C6" t="s">
        <v>54</v>
      </c>
      <c r="D6">
        <v>5</v>
      </c>
    </row>
    <row r="7" spans="1:4" x14ac:dyDescent="0.3">
      <c r="A7">
        <v>6</v>
      </c>
      <c r="B7" t="s">
        <v>34</v>
      </c>
      <c r="C7" t="s">
        <v>57</v>
      </c>
      <c r="D7">
        <v>6</v>
      </c>
    </row>
    <row r="8" spans="1:4" x14ac:dyDescent="0.3">
      <c r="A8">
        <v>7</v>
      </c>
      <c r="B8" t="s">
        <v>35</v>
      </c>
      <c r="C8" t="s">
        <v>58</v>
      </c>
      <c r="D8">
        <v>7</v>
      </c>
    </row>
    <row r="9" spans="1:4" x14ac:dyDescent="0.3">
      <c r="A9">
        <v>8</v>
      </c>
      <c r="B9" t="s">
        <v>55</v>
      </c>
      <c r="C9" t="s">
        <v>56</v>
      </c>
      <c r="D9">
        <v>8</v>
      </c>
    </row>
    <row r="10" spans="1:4" x14ac:dyDescent="0.3">
      <c r="A10">
        <v>9</v>
      </c>
      <c r="B10" t="s">
        <v>33</v>
      </c>
      <c r="C10" t="s">
        <v>59</v>
      </c>
      <c r="D10">
        <v>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55AB2-46C6-413D-9036-BBB374F102EB}">
  <sheetPr codeName="Sheet3"/>
  <dimension ref="A1:K8"/>
  <sheetViews>
    <sheetView workbookViewId="0">
      <selection activeCell="L8" sqref="L8"/>
    </sheetView>
  </sheetViews>
  <sheetFormatPr defaultRowHeight="14.4" x14ac:dyDescent="0.3"/>
  <cols>
    <col min="5" max="5" width="10.21875" bestFit="1" customWidth="1"/>
    <col min="6" max="6" width="11.44140625" bestFit="1" customWidth="1"/>
    <col min="8" max="8" width="93" customWidth="1"/>
  </cols>
  <sheetData>
    <row r="1" spans="1:11" x14ac:dyDescent="0.3">
      <c r="A1" t="s">
        <v>27</v>
      </c>
      <c r="B1" t="s">
        <v>0</v>
      </c>
      <c r="C1" t="s">
        <v>1</v>
      </c>
      <c r="D1" t="s">
        <v>2</v>
      </c>
      <c r="E1" t="s">
        <v>3</v>
      </c>
      <c r="F1" t="s">
        <v>12</v>
      </c>
      <c r="G1" t="s">
        <v>27</v>
      </c>
      <c r="H1" t="s">
        <v>29</v>
      </c>
      <c r="I1" t="s">
        <v>38</v>
      </c>
      <c r="J1" t="s">
        <v>41</v>
      </c>
      <c r="K1" t="s">
        <v>42</v>
      </c>
    </row>
    <row r="2" spans="1:11" x14ac:dyDescent="0.3">
      <c r="A2">
        <v>1</v>
      </c>
      <c r="B2" t="s">
        <v>4</v>
      </c>
      <c r="C2">
        <v>8</v>
      </c>
      <c r="E2" t="s">
        <v>5</v>
      </c>
      <c r="F2" t="s">
        <v>24</v>
      </c>
      <c r="G2">
        <v>1</v>
      </c>
      <c r="H2" t="s">
        <v>36</v>
      </c>
      <c r="I2" t="s">
        <v>39</v>
      </c>
      <c r="J2">
        <v>3</v>
      </c>
      <c r="K2">
        <v>2</v>
      </c>
    </row>
    <row r="3" spans="1:11" x14ac:dyDescent="0.3">
      <c r="A3">
        <v>2</v>
      </c>
      <c r="B3" t="s">
        <v>16</v>
      </c>
      <c r="C3">
        <v>5</v>
      </c>
      <c r="E3" t="s">
        <v>17</v>
      </c>
      <c r="F3" t="s">
        <v>100</v>
      </c>
      <c r="G3">
        <v>2</v>
      </c>
      <c r="H3" t="s">
        <v>37</v>
      </c>
      <c r="I3" t="s">
        <v>40</v>
      </c>
      <c r="J3">
        <v>2</v>
      </c>
      <c r="K3">
        <v>4</v>
      </c>
    </row>
    <row r="4" spans="1:11" x14ac:dyDescent="0.3">
      <c r="A4">
        <v>3</v>
      </c>
      <c r="B4" t="s">
        <v>52</v>
      </c>
      <c r="C4">
        <v>5</v>
      </c>
      <c r="E4" t="s">
        <v>22</v>
      </c>
      <c r="F4" t="s">
        <v>99</v>
      </c>
      <c r="G4">
        <v>3</v>
      </c>
      <c r="H4" t="s">
        <v>53</v>
      </c>
      <c r="J4">
        <v>3</v>
      </c>
      <c r="K4">
        <v>3</v>
      </c>
    </row>
    <row r="5" spans="1:11" x14ac:dyDescent="0.3">
      <c r="A5">
        <v>4</v>
      </c>
      <c r="B5" t="s">
        <v>92</v>
      </c>
      <c r="C5">
        <v>12</v>
      </c>
      <c r="E5" t="s">
        <v>93</v>
      </c>
      <c r="F5" t="s">
        <v>94</v>
      </c>
      <c r="G5">
        <v>4</v>
      </c>
      <c r="H5" t="s">
        <v>95</v>
      </c>
      <c r="J5">
        <v>4</v>
      </c>
      <c r="K5">
        <v>4</v>
      </c>
    </row>
    <row r="6" spans="1:11" x14ac:dyDescent="0.3">
      <c r="A6">
        <v>5</v>
      </c>
      <c r="B6" t="s">
        <v>97</v>
      </c>
      <c r="C6">
        <v>10</v>
      </c>
      <c r="E6" t="s">
        <v>96</v>
      </c>
      <c r="F6" t="s">
        <v>94</v>
      </c>
      <c r="G6">
        <v>5</v>
      </c>
      <c r="H6" t="s">
        <v>98</v>
      </c>
      <c r="J6">
        <v>4</v>
      </c>
      <c r="K6">
        <v>4</v>
      </c>
    </row>
    <row r="7" spans="1:11" x14ac:dyDescent="0.3">
      <c r="A7">
        <v>6</v>
      </c>
      <c r="B7" t="s">
        <v>101</v>
      </c>
      <c r="C7">
        <v>7</v>
      </c>
      <c r="E7" t="s">
        <v>9</v>
      </c>
      <c r="F7" t="s">
        <v>9</v>
      </c>
      <c r="G7">
        <v>6</v>
      </c>
      <c r="H7" t="s">
        <v>102</v>
      </c>
      <c r="J7">
        <v>4</v>
      </c>
      <c r="K7">
        <v>4</v>
      </c>
    </row>
    <row r="8" spans="1:11" x14ac:dyDescent="0.3">
      <c r="A8">
        <v>7</v>
      </c>
      <c r="B8" t="s">
        <v>129</v>
      </c>
      <c r="C8">
        <v>10</v>
      </c>
      <c r="E8" t="s">
        <v>5</v>
      </c>
      <c r="F8" t="s">
        <v>18</v>
      </c>
      <c r="G8">
        <v>7</v>
      </c>
      <c r="H8" t="s">
        <v>130</v>
      </c>
      <c r="J8">
        <v>5</v>
      </c>
      <c r="K8">
        <v>5</v>
      </c>
    </row>
  </sheetData>
  <dataConsolidate/>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8D87A-DDB2-4106-8113-81E3CA84C7F5}">
  <sheetPr codeName="Sheet10"/>
  <dimension ref="A1:A4"/>
  <sheetViews>
    <sheetView workbookViewId="0">
      <selection activeCell="E26" sqref="E26"/>
    </sheetView>
  </sheetViews>
  <sheetFormatPr defaultRowHeight="14.4" x14ac:dyDescent="0.3"/>
  <sheetData>
    <row r="1" spans="1:1" x14ac:dyDescent="0.3">
      <c r="A1" t="s">
        <v>111</v>
      </c>
    </row>
    <row r="4" spans="1:1" x14ac:dyDescent="0.3">
      <c r="A4" t="s">
        <v>112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4E3A8-47CA-404B-97CB-9D1832B9722A}">
  <sheetPr codeName="Sheet5"/>
  <dimension ref="A1:BE52"/>
  <sheetViews>
    <sheetView workbookViewId="0">
      <selection activeCell="AC1" sqref="AC1"/>
    </sheetView>
  </sheetViews>
  <sheetFormatPr defaultRowHeight="14.4" x14ac:dyDescent="0.3"/>
  <cols>
    <col min="1" max="52" width="2.77734375" customWidth="1"/>
  </cols>
  <sheetData>
    <row r="1" spans="1:57" ht="12" customHeight="1" thickTop="1" x14ac:dyDescent="0.3">
      <c r="A1" s="4"/>
      <c r="B1" s="4"/>
      <c r="C1" s="4"/>
      <c r="D1" s="4"/>
      <c r="E1" s="4"/>
      <c r="F1" s="4"/>
      <c r="G1" s="4"/>
      <c r="H1" s="4"/>
      <c r="I1" s="4"/>
      <c r="J1" s="4"/>
      <c r="K1" s="4"/>
      <c r="L1" s="4"/>
      <c r="M1" s="4"/>
      <c r="N1" s="4"/>
      <c r="O1" s="4"/>
      <c r="P1" s="4"/>
      <c r="Q1" s="4"/>
      <c r="R1" s="4"/>
      <c r="S1" s="4"/>
      <c r="T1" s="4"/>
      <c r="U1" s="7"/>
      <c r="V1" s="7"/>
      <c r="W1" s="7"/>
      <c r="X1" s="9"/>
      <c r="Y1" s="10"/>
      <c r="Z1" s="10"/>
      <c r="AA1" s="10"/>
      <c r="AB1" s="10"/>
      <c r="AC1" s="11"/>
      <c r="AD1" s="7"/>
      <c r="AE1" s="7"/>
      <c r="AF1" s="7"/>
      <c r="AG1" s="7"/>
      <c r="AH1" s="7"/>
      <c r="AI1" s="7"/>
      <c r="AJ1" s="7"/>
      <c r="AK1" s="4"/>
      <c r="AL1" s="4"/>
      <c r="AM1" s="4"/>
      <c r="AN1" s="4"/>
      <c r="AO1" s="4"/>
      <c r="AP1" s="4"/>
      <c r="AQ1" s="4"/>
      <c r="AR1" s="4"/>
      <c r="AS1" s="4"/>
      <c r="AT1" s="4"/>
      <c r="AU1" s="4"/>
      <c r="AV1" s="4"/>
      <c r="AW1" s="4"/>
      <c r="AX1" s="4"/>
      <c r="AY1" s="4"/>
      <c r="AZ1" s="4"/>
      <c r="BB1" t="s">
        <v>107</v>
      </c>
      <c r="BC1" t="s">
        <v>76</v>
      </c>
    </row>
    <row r="2" spans="1:57" ht="12" customHeight="1" x14ac:dyDescent="0.3">
      <c r="A2" s="4"/>
      <c r="B2" s="4"/>
      <c r="C2" s="4"/>
      <c r="D2" s="4"/>
      <c r="E2" s="4"/>
      <c r="F2" s="4"/>
      <c r="G2" s="4"/>
      <c r="H2" s="4"/>
      <c r="I2" s="4"/>
      <c r="J2" s="4"/>
      <c r="K2" s="4"/>
      <c r="L2" s="4"/>
      <c r="M2" s="4"/>
      <c r="N2" s="4"/>
      <c r="O2" s="4"/>
      <c r="P2" s="4"/>
      <c r="Q2" s="4"/>
      <c r="R2" s="4"/>
      <c r="S2" s="4"/>
      <c r="T2" s="4"/>
      <c r="U2" s="7"/>
      <c r="V2" s="7"/>
      <c r="W2" s="7"/>
      <c r="X2" s="12"/>
      <c r="Y2" s="8"/>
      <c r="Z2" s="8"/>
      <c r="AA2" s="8"/>
      <c r="AB2" s="8"/>
      <c r="AC2" s="13"/>
      <c r="AD2" s="7"/>
      <c r="AE2" s="7"/>
      <c r="AF2" s="7"/>
      <c r="AG2" s="7"/>
      <c r="AH2" s="7"/>
      <c r="AI2" s="7"/>
      <c r="AJ2" s="7"/>
      <c r="AK2" s="4"/>
      <c r="AL2" s="4"/>
      <c r="AM2" s="4"/>
      <c r="AN2" s="4"/>
      <c r="AO2" s="4"/>
      <c r="AP2" s="4"/>
      <c r="AQ2" s="4"/>
      <c r="AR2" s="4"/>
      <c r="AS2" s="4"/>
      <c r="AT2" s="4"/>
      <c r="AU2" s="4"/>
      <c r="AV2" s="4"/>
      <c r="AW2" s="4"/>
      <c r="AX2" s="4"/>
      <c r="AY2" s="4"/>
      <c r="AZ2" s="4"/>
    </row>
    <row r="3" spans="1:57" ht="12" customHeight="1" x14ac:dyDescent="0.3">
      <c r="A3" s="4"/>
      <c r="B3" s="4"/>
      <c r="C3" s="4"/>
      <c r="D3" s="4"/>
      <c r="E3" s="4"/>
      <c r="F3" s="4"/>
      <c r="G3" s="4"/>
      <c r="H3" s="4"/>
      <c r="I3" s="4"/>
      <c r="J3" s="4"/>
      <c r="K3" s="4"/>
      <c r="L3" s="4"/>
      <c r="M3" s="4"/>
      <c r="N3" s="4"/>
      <c r="O3" s="4"/>
      <c r="P3" s="4"/>
      <c r="Q3" s="4"/>
      <c r="R3" s="4"/>
      <c r="S3" s="4"/>
      <c r="T3" s="4"/>
      <c r="U3" s="7"/>
      <c r="V3" s="7"/>
      <c r="W3" s="7"/>
      <c r="X3" s="12"/>
      <c r="Y3" s="8"/>
      <c r="Z3" s="6" t="s">
        <v>50</v>
      </c>
      <c r="AA3" s="8"/>
      <c r="AB3" s="8"/>
      <c r="AC3" s="13"/>
      <c r="AD3" s="7"/>
      <c r="AE3" s="7"/>
      <c r="AF3" s="7"/>
      <c r="AG3" s="7"/>
      <c r="AH3" s="7"/>
      <c r="AI3" s="7"/>
      <c r="AJ3" s="7"/>
      <c r="AK3" s="4"/>
      <c r="AL3" s="4"/>
      <c r="AM3" s="4"/>
      <c r="AN3" s="4"/>
      <c r="AO3" s="4"/>
      <c r="AP3" s="4"/>
      <c r="AQ3" s="4"/>
      <c r="AR3" s="4"/>
      <c r="AS3" s="4"/>
      <c r="AT3" s="4"/>
      <c r="AU3" s="4"/>
      <c r="AV3" s="4"/>
      <c r="AW3" s="4"/>
      <c r="AX3" s="4"/>
      <c r="AY3" s="4"/>
      <c r="AZ3" s="4"/>
    </row>
    <row r="4" spans="1:57" ht="12" customHeight="1" x14ac:dyDescent="0.3">
      <c r="A4" s="4"/>
      <c r="B4" s="4"/>
      <c r="C4" s="4"/>
      <c r="D4" s="4"/>
      <c r="E4" s="4"/>
      <c r="F4" s="4"/>
      <c r="G4" s="4"/>
      <c r="H4" s="4"/>
      <c r="I4" s="4"/>
      <c r="J4" s="4"/>
      <c r="K4" s="4"/>
      <c r="L4" s="4"/>
      <c r="M4" s="4"/>
      <c r="N4" s="4"/>
      <c r="O4" s="4"/>
      <c r="P4" s="4"/>
      <c r="Q4" s="4"/>
      <c r="R4" s="4"/>
      <c r="S4" s="4"/>
      <c r="T4" s="4"/>
      <c r="U4" s="7"/>
      <c r="V4" s="7"/>
      <c r="W4" s="7"/>
      <c r="X4" s="12"/>
      <c r="Y4" s="8"/>
      <c r="Z4" s="8"/>
      <c r="AA4" s="8"/>
      <c r="AB4" s="8"/>
      <c r="AC4" s="13"/>
      <c r="AD4" s="7"/>
      <c r="AE4" s="7"/>
      <c r="AF4" s="7"/>
      <c r="AG4" s="7"/>
      <c r="AH4" s="7"/>
      <c r="AI4" s="7"/>
      <c r="AJ4" s="7"/>
      <c r="AK4" s="4"/>
      <c r="AL4" s="4"/>
      <c r="AM4" s="4"/>
      <c r="AN4" s="4"/>
      <c r="AO4" s="4"/>
      <c r="AP4" s="4"/>
      <c r="AQ4" s="4"/>
      <c r="AR4" s="4"/>
      <c r="AS4" s="4"/>
      <c r="AT4" s="4"/>
      <c r="AU4" s="4"/>
      <c r="AV4" s="4"/>
      <c r="AW4" s="4"/>
      <c r="AX4" s="4"/>
      <c r="AY4" s="4"/>
      <c r="AZ4" s="4"/>
      <c r="BB4" t="s">
        <v>108</v>
      </c>
      <c r="BC4" t="s">
        <v>109</v>
      </c>
      <c r="BD4" t="s">
        <v>110</v>
      </c>
    </row>
    <row r="5" spans="1:57" ht="12" customHeight="1" x14ac:dyDescent="0.3">
      <c r="A5" s="4"/>
      <c r="B5" s="4"/>
      <c r="C5" s="4"/>
      <c r="D5" s="4"/>
      <c r="E5" s="4"/>
      <c r="F5" s="4"/>
      <c r="G5" s="4"/>
      <c r="H5" s="4"/>
      <c r="I5" s="4"/>
      <c r="J5" s="4"/>
      <c r="K5" s="4"/>
      <c r="L5" s="4"/>
      <c r="M5" s="4"/>
      <c r="N5" s="4"/>
      <c r="O5" s="4"/>
      <c r="P5" s="4"/>
      <c r="Q5" s="4"/>
      <c r="R5" s="4"/>
      <c r="S5" s="4"/>
      <c r="T5" s="4"/>
      <c r="U5" s="7"/>
      <c r="V5" s="7"/>
      <c r="W5" s="7"/>
      <c r="X5" s="12"/>
      <c r="Y5" s="8"/>
      <c r="Z5" s="8"/>
      <c r="AA5" s="8"/>
      <c r="AB5" s="8"/>
      <c r="AC5" s="13"/>
      <c r="AD5" s="7"/>
      <c r="AE5" s="7"/>
      <c r="AF5" s="7"/>
      <c r="AG5" s="7"/>
      <c r="AH5" s="7"/>
      <c r="AI5" s="7"/>
      <c r="AJ5" s="7"/>
      <c r="AK5" s="4"/>
      <c r="AL5" s="4"/>
      <c r="AM5" s="4"/>
      <c r="AN5" s="4"/>
      <c r="AO5" s="4"/>
      <c r="AP5" s="4"/>
      <c r="AQ5" s="4"/>
      <c r="AR5" s="4"/>
      <c r="AS5" s="4"/>
      <c r="AT5" s="4"/>
      <c r="AU5" s="4"/>
      <c r="AV5" s="4"/>
      <c r="AW5" s="4"/>
      <c r="AX5" s="4"/>
      <c r="AY5" s="4"/>
      <c r="AZ5" s="4"/>
      <c r="BB5">
        <v>255</v>
      </c>
      <c r="BC5">
        <v>255</v>
      </c>
      <c r="BD5">
        <v>255</v>
      </c>
      <c r="BE5">
        <f>GetRGBAsLong(BB5,BC5,BD5)</f>
        <v>16777215</v>
      </c>
    </row>
    <row r="6" spans="1:57" ht="12" customHeight="1" thickBot="1" x14ac:dyDescent="0.35">
      <c r="A6" s="4"/>
      <c r="B6" s="4"/>
      <c r="C6" s="4"/>
      <c r="D6" s="4"/>
      <c r="E6" s="4"/>
      <c r="F6" s="4"/>
      <c r="G6" s="4"/>
      <c r="H6" s="4"/>
      <c r="I6" s="4"/>
      <c r="J6" s="4"/>
      <c r="K6" s="4"/>
      <c r="L6" s="4"/>
      <c r="M6" s="4"/>
      <c r="N6" s="4"/>
      <c r="O6" s="4"/>
      <c r="P6" s="4"/>
      <c r="Q6" s="4"/>
      <c r="R6" s="4"/>
      <c r="S6" s="4"/>
      <c r="T6" s="4"/>
      <c r="U6" s="7"/>
      <c r="V6" s="7"/>
      <c r="W6" s="7"/>
      <c r="X6" s="14"/>
      <c r="Y6" s="15"/>
      <c r="Z6" s="8"/>
      <c r="AA6" s="15"/>
      <c r="AB6" s="15"/>
      <c r="AC6" s="16"/>
      <c r="AD6" s="7"/>
      <c r="AE6" s="7"/>
      <c r="AF6" s="7"/>
      <c r="AG6" s="7"/>
      <c r="AH6" s="7"/>
      <c r="AI6" s="7"/>
      <c r="AJ6" s="7"/>
      <c r="AK6" s="4"/>
      <c r="AL6" s="4"/>
      <c r="AM6" s="4"/>
      <c r="AN6" s="4"/>
      <c r="AO6" s="4"/>
      <c r="AP6" s="4"/>
      <c r="AQ6" s="4"/>
      <c r="AR6" s="4"/>
      <c r="AS6" s="4"/>
      <c r="AT6" s="4"/>
      <c r="AU6" s="4"/>
      <c r="AV6" s="4"/>
      <c r="AW6" s="4"/>
      <c r="AX6" s="4"/>
      <c r="AY6" s="4"/>
      <c r="AZ6" s="4"/>
    </row>
    <row r="7" spans="1:57" ht="12" customHeight="1" thickTop="1" x14ac:dyDescent="0.3">
      <c r="A7" s="4"/>
      <c r="B7" s="4"/>
      <c r="C7" s="4"/>
      <c r="D7" s="4"/>
      <c r="E7" s="4"/>
      <c r="F7" s="4"/>
      <c r="G7" s="4"/>
      <c r="H7" s="4"/>
      <c r="I7" s="4"/>
      <c r="J7" s="4"/>
      <c r="K7" s="4"/>
      <c r="L7" s="4"/>
      <c r="M7" s="4"/>
      <c r="N7" s="4"/>
      <c r="O7" s="4"/>
      <c r="P7" s="4"/>
      <c r="Q7" s="4"/>
      <c r="R7" s="4"/>
      <c r="S7" s="4"/>
      <c r="T7" s="4"/>
      <c r="U7" s="7"/>
      <c r="V7" s="7"/>
      <c r="W7" s="7"/>
      <c r="X7" s="7"/>
      <c r="Y7" s="7"/>
      <c r="Z7" s="17"/>
      <c r="AA7" s="7"/>
      <c r="AB7" s="7"/>
      <c r="AC7" s="7"/>
      <c r="AD7" s="7"/>
      <c r="AE7" s="7"/>
      <c r="AF7" s="7"/>
      <c r="AG7" s="7"/>
      <c r="AH7" s="7"/>
      <c r="AI7" s="7"/>
      <c r="AJ7" s="7"/>
      <c r="AK7" s="4"/>
      <c r="AL7" s="4"/>
      <c r="AM7" s="4"/>
      <c r="AN7" s="4"/>
      <c r="AO7" s="4"/>
      <c r="AP7" s="4"/>
      <c r="AQ7" s="4"/>
      <c r="AR7" s="4"/>
      <c r="AS7" s="4"/>
      <c r="AT7" s="4"/>
      <c r="AU7" s="4"/>
      <c r="AV7" s="4"/>
      <c r="AW7" s="4"/>
      <c r="AX7" s="4"/>
      <c r="AY7" s="4"/>
      <c r="AZ7" s="4"/>
    </row>
    <row r="8" spans="1:57" ht="12" customHeight="1" x14ac:dyDescent="0.3">
      <c r="A8" s="4"/>
      <c r="B8" s="4"/>
      <c r="C8" s="4"/>
      <c r="D8" s="4"/>
      <c r="E8" s="4"/>
      <c r="F8" s="4"/>
      <c r="G8" s="4"/>
      <c r="H8" s="4"/>
      <c r="I8" s="4"/>
      <c r="J8" s="4"/>
      <c r="K8" s="4"/>
      <c r="L8" s="4"/>
      <c r="M8" s="4"/>
      <c r="N8" s="4"/>
      <c r="O8" s="4"/>
      <c r="P8" s="4"/>
      <c r="Q8" s="4"/>
      <c r="R8" s="4"/>
      <c r="S8" s="4"/>
      <c r="T8" s="4"/>
      <c r="U8" s="7"/>
      <c r="V8" s="7"/>
      <c r="W8" s="7"/>
      <c r="X8" s="7"/>
      <c r="Y8" s="7"/>
      <c r="Z8" s="17"/>
      <c r="AA8" s="7"/>
      <c r="AB8" s="7"/>
      <c r="AC8" s="7"/>
      <c r="AD8" s="7"/>
      <c r="AE8" s="7"/>
      <c r="AF8" s="7"/>
      <c r="AG8" s="7"/>
      <c r="AH8" s="7"/>
      <c r="AI8" s="7"/>
      <c r="AJ8" s="7"/>
      <c r="AK8" s="4"/>
      <c r="AL8" s="4"/>
      <c r="AM8" s="4"/>
      <c r="AN8" s="4"/>
      <c r="AO8" s="4"/>
      <c r="AP8" s="4"/>
      <c r="AQ8" s="4"/>
      <c r="AR8" s="4"/>
      <c r="AS8" s="4"/>
      <c r="AT8" s="4"/>
      <c r="AU8" s="4"/>
      <c r="AV8" s="4"/>
      <c r="AW8" s="4"/>
      <c r="AX8" s="4"/>
      <c r="AY8" s="4"/>
      <c r="AZ8" s="4"/>
    </row>
    <row r="9" spans="1:57" ht="12" customHeight="1" x14ac:dyDescent="0.3">
      <c r="A9" s="4"/>
      <c r="B9" s="4"/>
      <c r="C9" s="4"/>
      <c r="D9" s="4"/>
      <c r="E9" s="4"/>
      <c r="F9" s="4"/>
      <c r="G9" s="4"/>
      <c r="H9" s="4"/>
      <c r="I9" s="4"/>
      <c r="J9" s="4"/>
      <c r="K9" s="4"/>
      <c r="L9" s="4"/>
      <c r="M9" s="4"/>
      <c r="N9" s="4"/>
      <c r="O9" s="4"/>
      <c r="P9" s="4"/>
      <c r="Q9" s="4"/>
      <c r="R9" s="4"/>
      <c r="S9" s="4"/>
      <c r="T9" s="4"/>
      <c r="U9" s="7"/>
      <c r="V9" s="7"/>
      <c r="W9" s="7"/>
      <c r="X9" s="7"/>
      <c r="Y9" s="7"/>
      <c r="Z9" s="17"/>
      <c r="AA9" s="7"/>
      <c r="AB9" s="7"/>
      <c r="AC9" s="7"/>
      <c r="AD9" s="7"/>
      <c r="AE9" s="7"/>
      <c r="AF9" s="7"/>
      <c r="AG9" s="7"/>
      <c r="AH9" s="7"/>
      <c r="AI9" s="7"/>
      <c r="AJ9" s="7"/>
      <c r="AK9" s="4"/>
      <c r="AL9" s="4"/>
      <c r="AM9" s="4"/>
      <c r="AN9" s="4"/>
      <c r="AO9" s="4"/>
      <c r="AP9" s="4"/>
      <c r="AQ9" s="4"/>
      <c r="AR9" s="4"/>
      <c r="AS9" s="4"/>
      <c r="AT9" s="4"/>
      <c r="AU9" s="4"/>
      <c r="AV9" s="4"/>
      <c r="AW9" s="4"/>
      <c r="AX9" s="4"/>
      <c r="AY9" s="4"/>
      <c r="AZ9" s="4"/>
    </row>
    <row r="10" spans="1:57" ht="12" customHeight="1" x14ac:dyDescent="0.3">
      <c r="A10" s="4"/>
      <c r="B10" s="4"/>
      <c r="C10" s="4"/>
      <c r="D10" s="4"/>
      <c r="E10" s="4"/>
      <c r="F10" s="4"/>
      <c r="G10" s="4"/>
      <c r="H10" s="4"/>
      <c r="I10" s="4"/>
      <c r="J10" s="4"/>
      <c r="K10" s="4"/>
      <c r="L10" s="4"/>
      <c r="M10" s="4"/>
      <c r="N10" s="4"/>
      <c r="O10" s="4"/>
      <c r="P10" s="4"/>
      <c r="Q10" s="4"/>
      <c r="R10" s="4"/>
      <c r="S10" s="4"/>
      <c r="T10" s="4"/>
      <c r="U10" s="7"/>
      <c r="V10" s="7"/>
      <c r="W10" s="7"/>
      <c r="X10" s="7"/>
      <c r="Y10" s="7"/>
      <c r="Z10" s="17"/>
      <c r="AA10" s="7"/>
      <c r="AB10" s="7"/>
      <c r="AC10" s="7"/>
      <c r="AD10" s="7"/>
      <c r="AE10" s="7"/>
      <c r="AF10" s="7"/>
      <c r="AG10" s="7"/>
      <c r="AH10" s="7"/>
      <c r="AI10" s="7"/>
      <c r="AJ10" s="7"/>
      <c r="AK10" s="4"/>
      <c r="AL10" s="4"/>
      <c r="AM10" s="4"/>
      <c r="AN10" s="4"/>
      <c r="AO10" s="4"/>
      <c r="AP10" s="4"/>
      <c r="AQ10" s="4"/>
      <c r="AR10" s="4"/>
      <c r="AS10" s="4"/>
      <c r="AT10" s="4"/>
      <c r="AU10" s="4"/>
      <c r="AV10" s="4"/>
      <c r="AW10" s="4"/>
      <c r="AX10" s="4"/>
      <c r="AY10" s="4"/>
      <c r="AZ10" s="4"/>
    </row>
    <row r="11" spans="1:57" ht="12" customHeight="1" thickBot="1" x14ac:dyDescent="0.35">
      <c r="A11" s="4"/>
      <c r="B11" s="4"/>
      <c r="C11" s="4"/>
      <c r="D11" s="4"/>
      <c r="E11" s="4"/>
      <c r="F11" s="4"/>
      <c r="G11" s="4"/>
      <c r="H11" s="4"/>
      <c r="I11" s="4"/>
      <c r="J11" s="4"/>
      <c r="K11" s="4"/>
      <c r="L11" s="4"/>
      <c r="M11" s="4"/>
      <c r="N11" s="4"/>
      <c r="O11" s="4"/>
      <c r="P11" s="4"/>
      <c r="Q11" s="4"/>
      <c r="R11" s="4"/>
      <c r="S11" s="4"/>
      <c r="T11" s="4"/>
      <c r="U11" s="7"/>
      <c r="V11" s="7"/>
      <c r="W11" s="7"/>
      <c r="X11" s="7"/>
      <c r="Y11" s="7"/>
      <c r="Z11" s="18"/>
      <c r="AA11" s="7"/>
      <c r="AB11" s="7"/>
      <c r="AC11" s="7"/>
      <c r="AD11" s="7"/>
      <c r="AE11" s="7"/>
      <c r="AF11" s="7"/>
      <c r="AG11" s="7"/>
      <c r="AH11" s="7"/>
      <c r="AI11" s="7"/>
      <c r="AJ11" s="7"/>
      <c r="AK11" s="4"/>
      <c r="AL11" s="4"/>
      <c r="AM11" s="4"/>
      <c r="AN11" s="4"/>
      <c r="AO11" s="4"/>
      <c r="AP11" s="4"/>
      <c r="AQ11" s="4"/>
      <c r="AR11" s="4"/>
      <c r="AS11" s="4"/>
      <c r="AT11" s="4"/>
      <c r="AU11" s="4"/>
      <c r="AV11" s="4"/>
      <c r="AW11" s="4"/>
      <c r="AX11" s="4"/>
      <c r="AY11" s="4"/>
      <c r="AZ11" s="4"/>
    </row>
    <row r="12" spans="1:57" ht="12" customHeight="1" thickTop="1" x14ac:dyDescent="0.3">
      <c r="A12" s="4"/>
      <c r="B12" s="4"/>
      <c r="C12" s="4"/>
      <c r="D12" s="4"/>
      <c r="E12" s="4"/>
      <c r="F12" s="4"/>
      <c r="G12" s="4"/>
      <c r="H12" s="4"/>
      <c r="I12" s="4"/>
      <c r="J12" s="4"/>
      <c r="K12" s="4"/>
      <c r="L12" s="4"/>
      <c r="M12" s="4"/>
      <c r="N12" s="4"/>
      <c r="O12" s="4"/>
      <c r="P12" s="4"/>
      <c r="Q12" s="4"/>
      <c r="R12" s="4"/>
      <c r="S12" s="4"/>
      <c r="T12" s="4"/>
      <c r="U12" s="7"/>
      <c r="V12" s="7"/>
      <c r="W12" s="7"/>
      <c r="X12" s="7"/>
      <c r="Y12" s="7"/>
      <c r="Z12" s="7"/>
      <c r="AA12" s="7"/>
      <c r="AB12" s="7"/>
      <c r="AC12" s="7"/>
      <c r="AD12" s="7"/>
      <c r="AE12" s="7"/>
      <c r="AF12" s="7"/>
      <c r="AG12" s="7"/>
      <c r="AH12" s="7"/>
      <c r="AI12" s="7"/>
      <c r="AJ12" s="7"/>
      <c r="AK12" s="4"/>
      <c r="AL12" s="4"/>
      <c r="AM12" s="4"/>
      <c r="AN12" s="4"/>
      <c r="AO12" s="4"/>
      <c r="AP12" s="4"/>
      <c r="AQ12" s="4"/>
      <c r="AR12" s="4"/>
      <c r="AS12" s="4"/>
      <c r="AT12" s="4"/>
      <c r="AU12" s="4"/>
      <c r="AV12" s="4"/>
      <c r="AW12" s="4"/>
      <c r="AX12" s="4"/>
      <c r="AY12" s="4"/>
      <c r="AZ12" s="4"/>
    </row>
    <row r="13" spans="1:57" ht="12" customHeight="1" x14ac:dyDescent="0.3">
      <c r="A13" s="4"/>
      <c r="B13" s="4"/>
      <c r="C13" s="4"/>
      <c r="D13" s="4"/>
      <c r="E13" s="4"/>
      <c r="F13" s="4"/>
      <c r="G13" s="4"/>
      <c r="H13" s="4"/>
      <c r="I13" s="4"/>
      <c r="J13" s="4"/>
      <c r="K13" s="4"/>
      <c r="L13" s="4"/>
      <c r="M13" s="4"/>
      <c r="N13" s="4"/>
      <c r="O13" s="4"/>
      <c r="P13" s="4"/>
      <c r="Q13" s="4"/>
      <c r="R13" s="4"/>
      <c r="S13" s="4"/>
      <c r="T13" s="4"/>
      <c r="U13" s="7"/>
      <c r="V13" s="7"/>
      <c r="W13" s="7"/>
      <c r="X13" s="7"/>
      <c r="Y13" s="7"/>
      <c r="Z13" s="7"/>
      <c r="AA13" s="7"/>
      <c r="AB13" s="7"/>
      <c r="AC13" s="7"/>
      <c r="AD13" s="7"/>
      <c r="AE13" s="7"/>
      <c r="AF13" s="7"/>
      <c r="AG13" s="7"/>
      <c r="AH13" s="7"/>
      <c r="AI13" s="7"/>
      <c r="AJ13" s="7"/>
      <c r="AK13" s="4"/>
      <c r="AL13" s="4"/>
      <c r="AM13" s="4"/>
      <c r="AN13" s="4"/>
      <c r="AO13" s="4"/>
      <c r="AP13" s="4"/>
      <c r="AQ13" s="4"/>
      <c r="AR13" s="4"/>
      <c r="AS13" s="4"/>
      <c r="AT13" s="4"/>
      <c r="AU13" s="4"/>
      <c r="AV13" s="4"/>
      <c r="AW13" s="4"/>
      <c r="AX13" s="4"/>
      <c r="AY13" s="4"/>
      <c r="AZ13" s="4"/>
    </row>
    <row r="14" spans="1:57" ht="12" customHeight="1" x14ac:dyDescent="0.3">
      <c r="A14" s="4"/>
      <c r="B14" s="4"/>
      <c r="C14" s="4"/>
      <c r="D14" s="4"/>
      <c r="E14" s="4"/>
      <c r="F14" s="4"/>
      <c r="G14" s="4"/>
      <c r="H14" s="4"/>
      <c r="I14" s="4"/>
      <c r="J14" s="4"/>
      <c r="K14" s="4"/>
      <c r="L14" s="4"/>
      <c r="M14" s="4"/>
      <c r="N14" s="4"/>
      <c r="O14" s="4"/>
      <c r="P14" s="4"/>
      <c r="Q14" s="4"/>
      <c r="R14" s="4"/>
      <c r="S14" s="4"/>
      <c r="T14" s="4"/>
      <c r="U14" s="7"/>
      <c r="V14" s="7"/>
      <c r="W14" s="7"/>
      <c r="X14" s="7"/>
      <c r="Y14" s="7"/>
      <c r="Z14" s="7"/>
      <c r="AA14" s="7"/>
      <c r="AB14" s="7"/>
      <c r="AC14" s="7"/>
      <c r="AD14" s="7"/>
      <c r="AE14" s="7"/>
      <c r="AF14" s="7"/>
      <c r="AG14" s="7"/>
      <c r="AH14" s="7"/>
      <c r="AI14" s="7"/>
      <c r="AJ14" s="7"/>
      <c r="AK14" s="4"/>
      <c r="AL14" s="4"/>
      <c r="AM14" s="4"/>
      <c r="AN14" s="4"/>
      <c r="AO14" s="4"/>
      <c r="AP14" s="4"/>
      <c r="AQ14" s="4"/>
      <c r="AR14" s="4"/>
      <c r="AS14" s="4"/>
      <c r="AT14" s="4"/>
      <c r="AU14" s="4"/>
      <c r="AV14" s="4"/>
      <c r="AW14" s="4"/>
      <c r="AX14" s="4"/>
      <c r="AY14" s="4"/>
      <c r="AZ14" s="4"/>
    </row>
    <row r="15" spans="1:57" ht="12" customHeight="1" x14ac:dyDescent="0.3">
      <c r="A15" s="4"/>
      <c r="B15" s="4"/>
      <c r="C15" s="4"/>
      <c r="D15" s="4"/>
      <c r="E15" s="4"/>
      <c r="F15" s="4"/>
      <c r="G15" s="4"/>
      <c r="H15" s="4"/>
      <c r="I15" s="4"/>
      <c r="J15" s="4"/>
      <c r="K15" s="4"/>
      <c r="L15" s="4"/>
      <c r="M15" s="4"/>
      <c r="N15" s="4"/>
      <c r="O15" s="4"/>
      <c r="P15" s="4"/>
      <c r="Q15" s="4"/>
      <c r="R15" s="4"/>
      <c r="S15" s="4"/>
      <c r="T15" s="4"/>
      <c r="U15" s="4"/>
      <c r="V15" s="4"/>
      <c r="W15" s="4"/>
      <c r="X15" s="4"/>
      <c r="Y15" s="5"/>
      <c r="Z15" s="5"/>
      <c r="AA15" s="5"/>
      <c r="AB15" s="5"/>
      <c r="AC15" s="5"/>
      <c r="AD15" s="5"/>
      <c r="AE15" s="5"/>
      <c r="AF15" s="5"/>
      <c r="AG15" s="5"/>
      <c r="AH15" s="5"/>
      <c r="AI15" s="5"/>
      <c r="AJ15" s="4"/>
      <c r="AK15" s="4"/>
      <c r="AL15" s="4"/>
      <c r="AM15" s="4"/>
      <c r="AN15" s="4"/>
      <c r="AO15" s="4"/>
      <c r="AP15" s="4"/>
      <c r="AQ15" s="4"/>
      <c r="AR15" s="4"/>
      <c r="AS15" s="4"/>
      <c r="AT15" s="4"/>
      <c r="AU15" s="4"/>
      <c r="AV15" s="4"/>
      <c r="AW15" s="4"/>
      <c r="AX15" s="4"/>
      <c r="AY15" s="4"/>
      <c r="AZ15" s="4"/>
    </row>
    <row r="16" spans="1:57" ht="12" customHeight="1" x14ac:dyDescent="0.3">
      <c r="A16" s="4"/>
      <c r="B16" s="4"/>
      <c r="C16" s="4"/>
      <c r="D16" s="4"/>
      <c r="E16" s="4"/>
      <c r="F16" s="4"/>
      <c r="G16" s="4"/>
      <c r="H16" s="4"/>
      <c r="I16" s="4"/>
      <c r="J16" s="4"/>
      <c r="K16" s="4"/>
      <c r="L16" s="4"/>
      <c r="M16" s="4"/>
      <c r="N16" s="4"/>
      <c r="O16" s="4"/>
      <c r="P16" s="4"/>
      <c r="Q16" s="4"/>
      <c r="R16" s="4"/>
      <c r="S16" s="4"/>
      <c r="T16" s="4"/>
      <c r="U16" s="4"/>
      <c r="V16" s="4"/>
      <c r="W16" s="4"/>
      <c r="X16" s="4"/>
      <c r="Y16" s="5"/>
      <c r="Z16" s="5"/>
      <c r="AA16" s="5"/>
      <c r="AB16" s="5"/>
      <c r="AC16" s="5"/>
      <c r="AD16" s="5"/>
      <c r="AE16" s="5"/>
      <c r="AF16" s="5"/>
      <c r="AG16" s="5"/>
      <c r="AH16" s="5"/>
      <c r="AI16" s="5"/>
      <c r="AJ16" s="4"/>
      <c r="AK16" s="4"/>
      <c r="AL16" s="4"/>
      <c r="AM16" s="4"/>
      <c r="AN16" s="4"/>
      <c r="AO16" s="4"/>
      <c r="AP16" s="4"/>
      <c r="AQ16" s="4"/>
      <c r="AR16" s="4"/>
      <c r="AS16" s="4"/>
      <c r="AT16" s="4"/>
      <c r="AU16" s="4"/>
      <c r="AV16" s="4"/>
      <c r="AW16" s="4"/>
      <c r="AX16" s="4"/>
      <c r="AY16" s="4"/>
      <c r="AZ16" s="4"/>
    </row>
    <row r="17" spans="1:52" ht="12" customHeight="1" x14ac:dyDescent="0.3">
      <c r="A17" s="4"/>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row>
    <row r="18" spans="1:52" ht="12" customHeight="1" x14ac:dyDescent="0.3">
      <c r="A18" s="4"/>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row>
    <row r="19" spans="1:52" ht="12" customHeight="1" x14ac:dyDescent="0.3">
      <c r="A19" s="4"/>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row>
    <row r="20" spans="1:52" ht="12" customHeight="1" x14ac:dyDescent="0.3">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row>
    <row r="21" spans="1:52" ht="12" customHeight="1" x14ac:dyDescent="0.3">
      <c r="A21" s="4"/>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row>
    <row r="22" spans="1:52" ht="12" customHeight="1" x14ac:dyDescent="0.3">
      <c r="A22" s="4"/>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row>
    <row r="23" spans="1:52" ht="12" customHeight="1" x14ac:dyDescent="0.3">
      <c r="A23" s="4"/>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row>
    <row r="24" spans="1:52" ht="12" customHeight="1" x14ac:dyDescent="0.3">
      <c r="A24" s="4"/>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row>
    <row r="25" spans="1:52" ht="12" customHeight="1" x14ac:dyDescent="0.3">
      <c r="A25" s="4"/>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row>
    <row r="26" spans="1:52" ht="12" customHeight="1" x14ac:dyDescent="0.3">
      <c r="A26" s="4"/>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row>
    <row r="27" spans="1:52" ht="12" customHeight="1" x14ac:dyDescent="0.3">
      <c r="A27" s="4"/>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row>
    <row r="28" spans="1:52" ht="12" customHeight="1" x14ac:dyDescent="0.3">
      <c r="A28" s="4"/>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row>
    <row r="29" spans="1:52" ht="12" customHeight="1" x14ac:dyDescent="0.3">
      <c r="A29" s="4"/>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row>
    <row r="30" spans="1:52" ht="12" customHeight="1" x14ac:dyDescent="0.3">
      <c r="A30" s="4"/>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row>
    <row r="31" spans="1:52" ht="12" customHeight="1" x14ac:dyDescent="0.3">
      <c r="A31" s="4"/>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row>
    <row r="32" spans="1:52" ht="12" customHeight="1" x14ac:dyDescent="0.3">
      <c r="A32" s="4"/>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row>
    <row r="33" spans="1:52" ht="12" customHeight="1" x14ac:dyDescent="0.3">
      <c r="A33" s="4"/>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row>
    <row r="34" spans="1:52" ht="12" customHeight="1" x14ac:dyDescent="0.3">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row>
    <row r="35" spans="1:52" ht="12" customHeight="1" x14ac:dyDescent="0.3">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row>
    <row r="36" spans="1:52" ht="12" customHeight="1" x14ac:dyDescent="0.3">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row>
    <row r="37" spans="1:52" ht="12" customHeight="1" x14ac:dyDescent="0.3">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row>
    <row r="38" spans="1:52" ht="12" customHeight="1" x14ac:dyDescent="0.3">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row>
    <row r="39" spans="1:52" ht="12" customHeight="1" x14ac:dyDescent="0.3">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row>
    <row r="40" spans="1:52" ht="12" customHeight="1" x14ac:dyDescent="0.3">
      <c r="A40" s="4"/>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row>
    <row r="41" spans="1:52" ht="12" customHeight="1" x14ac:dyDescent="0.3">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row>
    <row r="42" spans="1:52" ht="12" customHeight="1" x14ac:dyDescent="0.3">
      <c r="A42" s="4"/>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row>
    <row r="43" spans="1:52" ht="12" customHeight="1" x14ac:dyDescent="0.3">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row>
    <row r="44" spans="1:52" ht="12" customHeight="1" x14ac:dyDescent="0.3">
      <c r="A44" s="4"/>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row>
    <row r="45" spans="1:52" ht="12" customHeight="1" x14ac:dyDescent="0.3">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row>
    <row r="46" spans="1:52" ht="12" customHeight="1" x14ac:dyDescent="0.3">
      <c r="A46" s="4"/>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row>
    <row r="47" spans="1:52" ht="12" customHeight="1" x14ac:dyDescent="0.3">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row>
    <row r="48" spans="1:52" ht="12" customHeight="1" x14ac:dyDescent="0.3">
      <c r="A48" s="4"/>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row>
    <row r="49" spans="1:52" ht="12" customHeight="1" x14ac:dyDescent="0.3">
      <c r="A49" s="4"/>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row>
    <row r="50" spans="1:52" ht="12" customHeight="1" x14ac:dyDescent="0.3">
      <c r="A50" s="4"/>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row>
    <row r="51" spans="1:52" ht="12" customHeight="1" x14ac:dyDescent="0.3">
      <c r="A51" s="4"/>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row>
    <row r="52" spans="1:52" ht="12" customHeight="1" x14ac:dyDescent="0.3">
      <c r="A52" s="4"/>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3876F-1D4C-4C90-9373-54BAB07A61F2}">
  <sheetPr codeName="Sheet8"/>
  <dimension ref="A1:A26"/>
  <sheetViews>
    <sheetView workbookViewId="0">
      <selection activeCell="K12" sqref="K12"/>
    </sheetView>
  </sheetViews>
  <sheetFormatPr defaultRowHeight="14.4" x14ac:dyDescent="0.3"/>
  <cols>
    <col min="1" max="26" width="2.77734375" customWidth="1"/>
  </cols>
  <sheetData>
    <row r="1" ht="12" customHeight="1" x14ac:dyDescent="0.3"/>
    <row r="2" ht="12" customHeight="1" x14ac:dyDescent="0.3"/>
    <row r="3" ht="12" customHeight="1" x14ac:dyDescent="0.3"/>
    <row r="4" ht="12" customHeight="1" x14ac:dyDescent="0.3"/>
    <row r="5" ht="12" customHeight="1" x14ac:dyDescent="0.3"/>
    <row r="6" ht="12" customHeight="1" x14ac:dyDescent="0.3"/>
    <row r="7" ht="12" customHeight="1" x14ac:dyDescent="0.3"/>
    <row r="8" ht="12" customHeight="1" x14ac:dyDescent="0.3"/>
    <row r="9" ht="12" customHeight="1" x14ac:dyDescent="0.3"/>
    <row r="10" ht="12" customHeight="1" x14ac:dyDescent="0.3"/>
    <row r="11" ht="12" customHeight="1" x14ac:dyDescent="0.3"/>
    <row r="12" ht="12" customHeight="1" x14ac:dyDescent="0.3"/>
    <row r="13" ht="12" customHeight="1" x14ac:dyDescent="0.3"/>
    <row r="14" ht="12" customHeight="1" x14ac:dyDescent="0.3"/>
    <row r="15" ht="12" customHeight="1" x14ac:dyDescent="0.3"/>
    <row r="16" ht="12" customHeight="1" x14ac:dyDescent="0.3"/>
    <row r="17" ht="12" customHeight="1" x14ac:dyDescent="0.3"/>
    <row r="18" ht="12" customHeight="1" x14ac:dyDescent="0.3"/>
    <row r="19" ht="12" customHeight="1" x14ac:dyDescent="0.3"/>
    <row r="20" ht="12" customHeight="1" x14ac:dyDescent="0.3"/>
    <row r="21" ht="12" customHeight="1" x14ac:dyDescent="0.3"/>
    <row r="22" ht="12" customHeight="1" x14ac:dyDescent="0.3"/>
    <row r="23" ht="12" customHeight="1" x14ac:dyDescent="0.3"/>
    <row r="24" ht="12" customHeight="1" x14ac:dyDescent="0.3"/>
    <row r="25" ht="12" customHeight="1" x14ac:dyDescent="0.3"/>
    <row r="26" ht="12" customHeight="1"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CC1F2EB5741AB43BA1F46423EEFF3B5" ma:contentTypeVersion="12" ma:contentTypeDescription="Create a new document." ma:contentTypeScope="" ma:versionID="0899c5985b8c2bdd045aef4f9b989203">
  <xsd:schema xmlns:xsd="http://www.w3.org/2001/XMLSchema" xmlns:xs="http://www.w3.org/2001/XMLSchema" xmlns:p="http://schemas.microsoft.com/office/2006/metadata/properties" xmlns:ns3="d674c22a-ea5a-4691-94f9-50695bb57d48" xmlns:ns4="8558acbf-ccfd-4cc4-a1a2-c99823379a45" targetNamespace="http://schemas.microsoft.com/office/2006/metadata/properties" ma:root="true" ma:fieldsID="db381cc971ffb3ec12bda85f5d90538a" ns3:_="" ns4:_="">
    <xsd:import namespace="d674c22a-ea5a-4691-94f9-50695bb57d48"/>
    <xsd:import namespace="8558acbf-ccfd-4cc4-a1a2-c99823379a45"/>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674c22a-ea5a-4691-94f9-50695bb57d4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558acbf-ccfd-4cc4-a1a2-c99823379a45"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SharingHintHash" ma:index="17"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6650E2B-BB1F-494E-8A00-6C4A8FB377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674c22a-ea5a-4691-94f9-50695bb57d48"/>
    <ds:schemaRef ds:uri="8558acbf-ccfd-4cc4-a1a2-c99823379a4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B57DDD6-EF42-4F8F-A9F7-F99CABC5A2C1}">
  <ds:schemaRefs>
    <ds:schemaRef ds:uri="http://schemas.microsoft.com/sharepoint/v3/contenttype/forms"/>
  </ds:schemaRefs>
</ds:datastoreItem>
</file>

<file path=customXml/itemProps3.xml><?xml version="1.0" encoding="utf-8"?>
<ds:datastoreItem xmlns:ds="http://schemas.openxmlformats.org/officeDocument/2006/customXml" ds:itemID="{CEF812AE-F06A-4081-8355-08F82D6598C1}">
  <ds:schemaRefs>
    <ds:schemaRef ds:uri="http://purl.org/dc/dcmitype/"/>
    <ds:schemaRef ds:uri="http://schemas.microsoft.com/office/infopath/2007/PartnerControls"/>
    <ds:schemaRef ds:uri="http://purl.org/dc/elements/1.1/"/>
    <ds:schemaRef ds:uri="http://schemas.microsoft.com/office/2006/metadata/properties"/>
    <ds:schemaRef ds:uri="8558acbf-ccfd-4cc4-a1a2-c99823379a45"/>
    <ds:schemaRef ds:uri="http://purl.org/dc/terms/"/>
    <ds:schemaRef ds:uri="http://schemas.microsoft.com/office/2006/documentManagement/types"/>
    <ds:schemaRef ds:uri="http://schemas.openxmlformats.org/package/2006/metadata/core-properties"/>
    <ds:schemaRef ds:uri="d674c22a-ea5a-4691-94f9-50695bb57d48"/>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PlayScreen</vt:lpstr>
      <vt:lpstr>CharacterSheet</vt:lpstr>
      <vt:lpstr>PlayerSheet</vt:lpstr>
      <vt:lpstr>Items</vt:lpstr>
      <vt:lpstr>Enchantments</vt:lpstr>
      <vt:lpstr>Rooms</vt:lpstr>
      <vt:lpstr>NPCs</vt:lpstr>
      <vt:lpstr>Encounter</vt:lpstr>
      <vt:lpstr>Dungeon</vt:lpstr>
      <vt:lpstr>WorldMap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Ruette</dc:creator>
  <cp:lastModifiedBy>Guillaume Ruette</cp:lastModifiedBy>
  <dcterms:created xsi:type="dcterms:W3CDTF">2020-05-05T10:41:33Z</dcterms:created>
  <dcterms:modified xsi:type="dcterms:W3CDTF">2020-06-02T15:23:13Z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0x0101009CC1F2EB5741AB43BA1F46423EEFF3B5</vt:lpwstr>
  </property>
</Properties>
</file>