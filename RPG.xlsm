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LONGR8\OneDrive - PA Consulting Group\Admin\Personal\"/>
    </mc:Choice>
  </mc:AlternateContent>
  <xr:revisionPtr revIDLastSave="524" documentId="8_{4E9E7299-4859-4777-B3AC-605BCDF9FBF2}" xr6:coauthVersionLast="44" xr6:coauthVersionMax="44" xr10:uidLastSave="{3CD3539A-6344-4423-BE8F-A6FE4B8153C0}"/>
  <bookViews>
    <workbookView xWindow="-108" yWindow="-108" windowWidth="23256" windowHeight="12576" activeTab="1" xr2:uid="{FF30D28B-C20C-4B1E-A86E-94B56590103E}"/>
  </bookViews>
  <sheets>
    <sheet name="Log" sheetId="4" r:id="rId1"/>
    <sheet name="PlayScreen" sheetId="7" r:id="rId2"/>
    <sheet name="CharacterSheet" sheetId="9" r:id="rId3"/>
    <sheet name="WorldMap" sheetId="8" r:id="rId4"/>
    <sheet name="NPCs" sheetId="2" r:id="rId5"/>
    <sheet name="PlayerSheet" sheetId="1" r:id="rId6"/>
    <sheet name="Rooms" sheetId="6" r:id="rId7"/>
    <sheet name="Items" sheetId="3"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20" i="3" l="1"/>
  <c r="H18" i="3" l="1"/>
  <c r="H16" i="3"/>
  <c r="H15" i="3"/>
  <c r="H10" i="3"/>
  <c r="H9" i="3"/>
  <c r="H19" i="3"/>
  <c r="H12" i="3"/>
  <c r="H11" i="3"/>
  <c r="H5" i="3"/>
  <c r="H6" i="3"/>
  <c r="H7" i="3"/>
  <c r="H8" i="3"/>
  <c r="H4" i="3"/>
  <c r="H3" i="3"/>
  <c r="H2" i="3"/>
</calcChain>
</file>

<file path=xl/sharedStrings.xml><?xml version="1.0" encoding="utf-8"?>
<sst xmlns="http://schemas.openxmlformats.org/spreadsheetml/2006/main" count="189" uniqueCount="139">
  <si>
    <t>Name</t>
  </si>
  <si>
    <t>Hitpoints</t>
  </si>
  <si>
    <t>Damage</t>
  </si>
  <si>
    <t>Reward</t>
  </si>
  <si>
    <t>Bear</t>
  </si>
  <si>
    <t>Bearskin</t>
  </si>
  <si>
    <t>Current HitPoints</t>
  </si>
  <si>
    <t>Items</t>
  </si>
  <si>
    <t>CurrentWeapon</t>
  </si>
  <si>
    <t>Sword</t>
  </si>
  <si>
    <t>CurrentDamage</t>
  </si>
  <si>
    <t>Type</t>
  </si>
  <si>
    <t>Weapon</t>
  </si>
  <si>
    <t>Axe</t>
  </si>
  <si>
    <t>Dagger</t>
  </si>
  <si>
    <t>Rock</t>
  </si>
  <si>
    <t>Wolf</t>
  </si>
  <si>
    <t>Wolfskin</t>
  </si>
  <si>
    <t>Fists</t>
  </si>
  <si>
    <t>Nunchuks</t>
  </si>
  <si>
    <t>Shiruken</t>
  </si>
  <si>
    <t>ItemType</t>
  </si>
  <si>
    <t>Food</t>
  </si>
  <si>
    <t>Bandage</t>
  </si>
  <si>
    <t>Bearclaws</t>
  </si>
  <si>
    <t>Wolfbite</t>
  </si>
  <si>
    <t>ItemId</t>
  </si>
  <si>
    <t>RoomId</t>
  </si>
  <si>
    <t>NPCId</t>
  </si>
  <si>
    <t>Torture Chamber</t>
  </si>
  <si>
    <t>Description</t>
  </si>
  <si>
    <t>Temple</t>
  </si>
  <si>
    <t>Tomb</t>
  </si>
  <si>
    <t>Chasm</t>
  </si>
  <si>
    <t>Exit</t>
  </si>
  <si>
    <t>Lair</t>
  </si>
  <si>
    <t>Shrine</t>
  </si>
  <si>
    <t>A fierce grizzly bear, with razor sharp claws and immense power</t>
  </si>
  <si>
    <t>A snarling wolf, agile and ferocious, with a tremendous strength in its snapping jaws</t>
  </si>
  <si>
    <t>Image</t>
  </si>
  <si>
    <t>PixelBear.jpg</t>
  </si>
  <si>
    <t>PixelWolf.png</t>
  </si>
  <si>
    <t>Attack</t>
  </si>
  <si>
    <t>Defence</t>
  </si>
  <si>
    <t>Fireball</t>
  </si>
  <si>
    <t>Heal</t>
  </si>
  <si>
    <t>StaminaCost</t>
  </si>
  <si>
    <t>ManaCost</t>
  </si>
  <si>
    <t>Your Stamina has dropped by 4 to 14</t>
  </si>
  <si>
    <t>Nothing</t>
  </si>
  <si>
    <t>The gloomy entrance hall is filled with darkened corners and shadows that leap in the corner of your eye, thanks to the flickering torches that are sparsely placed on the walls.</t>
  </si>
  <si>
    <t>A monstrous place, filled with all the horrific devices to inflect pain and suffering you can imagine, as well as countless more you couldn't even identify.</t>
  </si>
  <si>
    <t>Which deity was this temple built to worship?  You cannot tell, but whichever it was you doubt they were benevolent.  The blood stains that cover nearly every surface tell a tale of centuries of sacrifices made to appease the brutal, nameless god.</t>
  </si>
  <si>
    <t>Frostblast</t>
  </si>
  <si>
    <t>Value</t>
  </si>
  <si>
    <t>Entrance Hall</t>
  </si>
  <si>
    <t>You have obtained 1 Bandage</t>
  </si>
  <si>
    <t>A vast cavern holds the remains of what must be hundreds of fallen warriors. You hear rats scurrying away from the sound of your footsteps.  In the darkness, you strain to hear if there are any more noises that may indicate you are not alone.</t>
  </si>
  <si>
    <t>Meanie</t>
  </si>
  <si>
    <t>Meaniebite</t>
  </si>
  <si>
    <t>A flying meanie, desperate to sink his meanie fangs into you</t>
  </si>
  <si>
    <t>A medium-sized room, however it is split in two by a gaping chasm revealing a churning lake of molten lava below.  The heat is intense.</t>
  </si>
  <si>
    <t>Banqueting Hall</t>
  </si>
  <si>
    <t>A surprisingly formal room dominated by a long banqueting table, covered in chargers of rotting meat and flagons of foul smelling drink.  Who would be feasting in the depths of the dungeon?</t>
  </si>
  <si>
    <t>The home of a giant creature, which has built a nest for itself.  Fortunately, the creature is not at home - whatever it is.</t>
  </si>
  <si>
    <t>A simple yet obviously devout shrine dedicated to a forgotten minor-deity.</t>
  </si>
  <si>
    <t>The end of the dungeon.  You see daylight, after becoming convinced you would be trapped in the dungeon forever.</t>
  </si>
  <si>
    <t>You arrive at the Entrance Hall. The gloomy entrance hall is filled with darkened corners and shadows that leap in the corner of your eye, thanks to the flickering torches that are sparsely placed on the walls.</t>
  </si>
  <si>
    <t>You arrive at the Lair. The home of a giant creature, which has built a nest for itself.  Fortunately, the creature is not at home - whatever it is.</t>
  </si>
  <si>
    <t>In the Lair you see: 1 Wolf.1 Bear.1 Food.1 Bandage.</t>
  </si>
  <si>
    <t>Inventory</t>
  </si>
  <si>
    <t>Current HP</t>
  </si>
  <si>
    <t>Max HP</t>
  </si>
  <si>
    <t>Current Stamina</t>
  </si>
  <si>
    <t>Max Stamina</t>
  </si>
  <si>
    <t>Current Mana</t>
  </si>
  <si>
    <t>Max Mana</t>
  </si>
  <si>
    <t>Current Dungeon</t>
  </si>
  <si>
    <t>Current Room</t>
  </si>
  <si>
    <t>You arrive at the Tomb. A vast cavern holds the remains of what must be hundreds of fallen warriors. You hear rats scurrying away from the sound of your footsteps.  In the darkness, you strain to hear if there are any more noises that may indicate you are not alone.</t>
  </si>
  <si>
    <t>In the Tomb you see: 1 Wolf.1 Bear.1 Food.1 Bandage.</t>
  </si>
  <si>
    <t>Player Name</t>
  </si>
  <si>
    <t>StartingHealthUpperBound</t>
  </si>
  <si>
    <t>StartingAttackUpperBound</t>
  </si>
  <si>
    <t>StartingDefenceUpperBound</t>
  </si>
  <si>
    <t>StartingStaminaUpperBound</t>
  </si>
  <si>
    <t>StartingManaUpperBound</t>
  </si>
  <si>
    <t>StartingLuckUpperBound</t>
  </si>
  <si>
    <t>The Depths of Despair</t>
  </si>
  <si>
    <t>Luck</t>
  </si>
  <si>
    <t>Room Description</t>
  </si>
  <si>
    <t>Sally</t>
  </si>
  <si>
    <t>In the Entrance Hall you see: 1 Food.1 Bandage.1 Sword.</t>
  </si>
  <si>
    <t>Action Description</t>
  </si>
  <si>
    <t>Name:</t>
  </si>
  <si>
    <t>Mana:</t>
  </si>
  <si>
    <t>Stamina:</t>
  </si>
  <si>
    <t>Health:</t>
  </si>
  <si>
    <t>Base Attack Skill:</t>
  </si>
  <si>
    <t>Base Defend Skill:</t>
  </si>
  <si>
    <t>Luck:</t>
  </si>
  <si>
    <t>Inventory:</t>
  </si>
  <si>
    <t>17 / 17</t>
  </si>
  <si>
    <t>Equipped Weapon:</t>
  </si>
  <si>
    <t>Equipped Spell:</t>
  </si>
  <si>
    <t xml:space="preserve"> </t>
  </si>
  <si>
    <t>Troll</t>
  </si>
  <si>
    <t>Trollstooth</t>
  </si>
  <si>
    <t>Club</t>
  </si>
  <si>
    <t>A towering troll who looks like a rockformation come to life</t>
  </si>
  <si>
    <t>Eye of ogre</t>
  </si>
  <si>
    <t>Cyclops</t>
  </si>
  <si>
    <t>A one-eyed ogre, with matted hair all over its misshapen body</t>
  </si>
  <si>
    <t>16 / 16</t>
  </si>
  <si>
    <t>12</t>
  </si>
  <si>
    <t>11</t>
  </si>
  <si>
    <t>You search the room, collecting whatever you can find.</t>
  </si>
  <si>
    <t>1 x Food - Heals 3 health</t>
  </si>
  <si>
    <t>1 x Sword - Does 5 damage</t>
  </si>
  <si>
    <t>In the Tomb you see: 1 Cyclops.1 Food.1 Bandage.</t>
  </si>
  <si>
    <t>Your Stamina has dropped by 1 to 11</t>
  </si>
  <si>
    <t>11 / 12</t>
  </si>
  <si>
    <t>In the Tomb you see: 1 Bear.1 Food.1 Bandage.</t>
  </si>
  <si>
    <t>You arrive at the Banqueting Hall. A surprisingly formal room dominated by a long banqueting table, covered in chargers of rotting meat and flagons of foul smelling drink.  Who would be feasting in the depths of the dungeon?</t>
  </si>
  <si>
    <t>In the Banqueting Hall you see: 1 Cyclops.1 Food.1 Bandage.</t>
  </si>
  <si>
    <t>You arrive at the Chasm. A medium-sized room, however it is split in two by a gaping chasm revealing a churning lake of molten lava below.  The heat is intense.</t>
  </si>
  <si>
    <t>In the Chasm you see: 1 Troll.1 Food.1 Bandage.</t>
  </si>
  <si>
    <t>You attack the Troll and injure them for 5 hit points.</t>
  </si>
  <si>
    <t>Your attack (17) is more powerful than the Troll's defence (4).</t>
  </si>
  <si>
    <t>In the Chasm you see: 1 Wolf.1 Food.1 Bandage.</t>
  </si>
  <si>
    <t>You arrive at the Temple. Which deity was this temple built to worship?  You cannot tell, but whichever it was you doubt they were benevolent.  The blood stains that cover nearly every surface tell a tale of centuries of sacrifices made to appease the brutal, nameless god.</t>
  </si>
  <si>
    <t>In the Temple you see: 1 Cyclops.1 Food.1 Bandage.</t>
  </si>
  <si>
    <t>In the Chasm you see: 1 Bear.1 Food.1 Bandage.</t>
  </si>
  <si>
    <t>You arrive at the Exit. The end of the dungeon.  You see daylight, after becoming convinced you would be trapped in the dungeon forever.</t>
  </si>
  <si>
    <t>In the Exit you see: 1 Food.1 Bandage.</t>
  </si>
  <si>
    <t>In the Entrance Hall you see: 1 Food.1 Sword.</t>
  </si>
  <si>
    <t>In the Banqueting Hall you see: 1 Troll.1 Bandage.</t>
  </si>
  <si>
    <t>A surprisingly formal room dominated by a long banqueting table, covered in chargers of rotting meat and flagons of foul smelling drink.  Who would be feasting in the depths of the dungeon? You also see: 1 Troll. 1 Bandage.</t>
  </si>
  <si>
    <t>The Troll attack (6) is blocked by your defence (12).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</si>
</sst>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0" fillId="0" borderId="0" xfId="0" applyAlignment="1">
      <alignment horizontal="center"/>
    </xf>
    <xf numFmtId="16" fontId="0" fillId="0" borderId="0" xfId="0" quotePrefix="1" applyNumberFormat="1" applyAlignment="1">
      <alignment horizontal="center"/>
    </xf>
    <xf numFmtId="0" fontId="0" fillId="0" borderId="0" xfId="0" quotePrefix="1" applyAlignment="1">
      <alignment horizontal="center"/>
    </xf>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2606040</xdr:colOff>
          <xdr:row>2</xdr:row>
          <xdr:rowOff>160020</xdr:rowOff>
        </xdr:from>
        <xdr:to>
          <xdr:col>3</xdr:col>
          <xdr:colOff>381000</xdr:colOff>
          <xdr:row>4</xdr:row>
          <xdr:rowOff>0</xdr:rowOff>
        </xdr:to>
        <xdr:sp macro="" textlink="">
          <xdr:nvSpPr>
            <xdr:cNvPr id="6145" name="btnStart"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Start Game!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723900</xdr:colOff>
          <xdr:row>2</xdr:row>
          <xdr:rowOff>137160</xdr:rowOff>
        </xdr:from>
        <xdr:to>
          <xdr:col>4</xdr:col>
          <xdr:colOff>662940</xdr:colOff>
          <xdr:row>4</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Take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304800</xdr:colOff>
          <xdr:row>2</xdr:row>
          <xdr:rowOff>114300</xdr:rowOff>
        </xdr:from>
        <xdr:to>
          <xdr:col>11</xdr:col>
          <xdr:colOff>388620</xdr:colOff>
          <xdr:row>4</xdr:row>
          <xdr:rowOff>7620</xdr:rowOff>
        </xdr:to>
        <xdr:sp macro="" textlink="">
          <xdr:nvSpPr>
            <xdr:cNvPr id="6148" name="btnMove" hidden="1">
              <a:extLst>
                <a:ext uri="{63B3BB69-23CF-44E3-9099-C40C66FF867C}">
                  <a14:compatExt spid="_x0000_s6148"/>
                </a:ext>
                <a:ext uri="{FF2B5EF4-FFF2-40B4-BE49-F238E27FC236}">
                  <a16:creationId xmlns:a16="http://schemas.microsoft.com/office/drawing/2014/main" id="{00000000-0008-0000-0100-00000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Move Onwards!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53340</xdr:colOff>
          <xdr:row>2</xdr:row>
          <xdr:rowOff>144780</xdr:rowOff>
        </xdr:from>
        <xdr:to>
          <xdr:col>9</xdr:col>
          <xdr:colOff>83820</xdr:colOff>
          <xdr:row>4</xdr:row>
          <xdr:rowOff>15240</xdr:rowOff>
        </xdr:to>
        <xdr:sp macro="" textlink="">
          <xdr:nvSpPr>
            <xdr:cNvPr id="6149" name="btnAttack" hidden="1">
              <a:extLst>
                <a:ext uri="{63B3BB69-23CF-44E3-9099-C40C66FF867C}">
                  <a14:compatExt spid="_x0000_s6149"/>
                </a:ext>
                <a:ext uri="{FF2B5EF4-FFF2-40B4-BE49-F238E27FC236}">
                  <a16:creationId xmlns:a16="http://schemas.microsoft.com/office/drawing/2014/main" id="{00000000-0008-0000-0100-00000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Attack!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4</xdr:row>
          <xdr:rowOff>137160</xdr:rowOff>
        </xdr:from>
        <xdr:to>
          <xdr:col>9</xdr:col>
          <xdr:colOff>91440</xdr:colOff>
          <xdr:row>6</xdr:row>
          <xdr:rowOff>30480</xdr:rowOff>
        </xdr:to>
        <xdr:sp macro="" textlink="">
          <xdr:nvSpPr>
            <xdr:cNvPr id="6150" name="btnRest" hidden="1">
              <a:extLst>
                <a:ext uri="{63B3BB69-23CF-44E3-9099-C40C66FF867C}">
                  <a14:compatExt spid="_x0000_s6150"/>
                </a:ext>
                <a:ext uri="{FF2B5EF4-FFF2-40B4-BE49-F238E27FC236}">
                  <a16:creationId xmlns:a16="http://schemas.microsoft.com/office/drawing/2014/main" id="{00000000-0008-0000-0100-00000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403860</xdr:colOff>
          <xdr:row>4</xdr:row>
          <xdr:rowOff>167640</xdr:rowOff>
        </xdr:from>
        <xdr:to>
          <xdr:col>11</xdr:col>
          <xdr:colOff>594360</xdr:colOff>
          <xdr:row>6</xdr:row>
          <xdr:rowOff>68580</xdr:rowOff>
        </xdr:to>
        <xdr:sp macro="" textlink="">
          <xdr:nvSpPr>
            <xdr:cNvPr id="6151" name="btnHeal" hidden="1">
              <a:extLst>
                <a:ext uri="{63B3BB69-23CF-44E3-9099-C40C66FF867C}">
                  <a14:compatExt spid="_x0000_s6151"/>
                </a:ext>
                <a:ext uri="{FF2B5EF4-FFF2-40B4-BE49-F238E27FC236}">
                  <a16:creationId xmlns:a16="http://schemas.microsoft.com/office/drawing/2014/main" id="{00000000-0008-0000-0100-00000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Heal!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32D25-BB6F-434F-84A3-C8D3427BD7AC}">
  <sheetPr codeName="Sheet1"/>
  <dimension ref="A1:A41"/>
  <sheetViews>
    <sheetView workbookViewId="0">
      <selection sqref="A1:A1048576"/>
    </sheetView>
  </sheetViews>
  <sheetFormatPr defaultRowHeight="14.4" x14ac:dyDescent="0.3"/>
  <sheetData>
    <row r="1" spans="1:1" x14ac:dyDescent="0.3">
      <c r="A1" t="s">
        <v>67</v>
      </c>
    </row>
    <row r="2" spans="1:1" x14ac:dyDescent="0.3">
      <c r="A2" t="s">
        <v>92</v>
      </c>
    </row>
    <row r="3" spans="1:1" x14ac:dyDescent="0.3">
      <c r="A3" t="s">
        <v>67</v>
      </c>
    </row>
    <row r="4" spans="1:1" x14ac:dyDescent="0.3">
      <c r="A4" t="s">
        <v>92</v>
      </c>
    </row>
    <row r="5" spans="1:1" x14ac:dyDescent="0.3">
      <c r="A5" t="s">
        <v>79</v>
      </c>
    </row>
    <row r="6" spans="1:1" x14ac:dyDescent="0.3">
      <c r="A6" t="s">
        <v>80</v>
      </c>
    </row>
    <row r="7" spans="1:1" x14ac:dyDescent="0.3">
      <c r="A7" t="s">
        <v>68</v>
      </c>
    </row>
    <row r="8" spans="1:1" x14ac:dyDescent="0.3">
      <c r="A8" t="s">
        <v>69</v>
      </c>
    </row>
    <row r="9" spans="1:1" x14ac:dyDescent="0.3">
      <c r="A9" t="s">
        <v>67</v>
      </c>
    </row>
    <row r="10" spans="1:1" x14ac:dyDescent="0.3">
      <c r="A10" t="s">
        <v>92</v>
      </c>
    </row>
    <row r="11" spans="1:1" x14ac:dyDescent="0.3">
      <c r="A11" t="s">
        <v>67</v>
      </c>
    </row>
    <row r="12" spans="1:1" x14ac:dyDescent="0.3">
      <c r="A12" t="s">
        <v>92</v>
      </c>
    </row>
    <row r="13" spans="1:1" x14ac:dyDescent="0.3">
      <c r="A13" t="s">
        <v>116</v>
      </c>
    </row>
    <row r="14" spans="1:1" x14ac:dyDescent="0.3">
      <c r="A14" t="s">
        <v>79</v>
      </c>
    </row>
    <row r="15" spans="1:1" x14ac:dyDescent="0.3">
      <c r="A15" t="s">
        <v>119</v>
      </c>
    </row>
    <row r="16" spans="1:1" x14ac:dyDescent="0.3">
      <c r="A16" t="s">
        <v>116</v>
      </c>
    </row>
    <row r="17" spans="1:1" x14ac:dyDescent="0.3">
      <c r="A17" t="s">
        <v>79</v>
      </c>
    </row>
    <row r="18" spans="1:1" x14ac:dyDescent="0.3">
      <c r="A18" t="s">
        <v>122</v>
      </c>
    </row>
    <row r="19" spans="1:1" x14ac:dyDescent="0.3">
      <c r="A19" t="s">
        <v>123</v>
      </c>
    </row>
    <row r="20" spans="1:1" x14ac:dyDescent="0.3">
      <c r="A20" t="s">
        <v>124</v>
      </c>
    </row>
    <row r="21" spans="1:1" x14ac:dyDescent="0.3">
      <c r="A21" t="s">
        <v>125</v>
      </c>
    </row>
    <row r="22" spans="1:1" x14ac:dyDescent="0.3">
      <c r="A22" t="s">
        <v>126</v>
      </c>
    </row>
    <row r="23" spans="1:1" x14ac:dyDescent="0.3">
      <c r="A23" t="s">
        <v>116</v>
      </c>
    </row>
    <row r="24" spans="1:1" x14ac:dyDescent="0.3">
      <c r="A24" t="s">
        <v>125</v>
      </c>
    </row>
    <row r="25" spans="1:1" x14ac:dyDescent="0.3">
      <c r="A25" t="s">
        <v>129</v>
      </c>
    </row>
    <row r="26" spans="1:1" x14ac:dyDescent="0.3">
      <c r="A26" t="s">
        <v>130</v>
      </c>
    </row>
    <row r="27" spans="1:1" x14ac:dyDescent="0.3">
      <c r="A27" t="s">
        <v>131</v>
      </c>
    </row>
    <row r="28" spans="1:1" x14ac:dyDescent="0.3">
      <c r="A28" t="s">
        <v>125</v>
      </c>
    </row>
    <row r="29" spans="1:1" x14ac:dyDescent="0.3">
      <c r="A29" t="s">
        <v>132</v>
      </c>
    </row>
    <row r="30" spans="1:1" x14ac:dyDescent="0.3">
      <c r="A30" t="s">
        <v>133</v>
      </c>
    </row>
    <row r="31" spans="1:1" x14ac:dyDescent="0.3">
      <c r="A31" t="s">
        <v>134</v>
      </c>
    </row>
    <row r="32" spans="1:1" x14ac:dyDescent="0.3">
      <c r="A32" t="s">
        <v>67</v>
      </c>
    </row>
    <row r="33" spans="1:1" x14ac:dyDescent="0.3">
      <c r="A33" t="s">
        <v>92</v>
      </c>
    </row>
    <row r="34" spans="1:1" x14ac:dyDescent="0.3">
      <c r="A34" t="s">
        <v>116</v>
      </c>
    </row>
    <row r="35" spans="1:1" x14ac:dyDescent="0.3">
      <c r="A35" t="s">
        <v>79</v>
      </c>
    </row>
    <row r="36" spans="1:1" x14ac:dyDescent="0.3">
      <c r="A36" t="s">
        <v>119</v>
      </c>
    </row>
    <row r="37" spans="1:1" x14ac:dyDescent="0.3">
      <c r="A37" t="s">
        <v>67</v>
      </c>
    </row>
    <row r="38" spans="1:1" x14ac:dyDescent="0.3">
      <c r="A38" t="s">
        <v>135</v>
      </c>
    </row>
    <row r="39" spans="1:1" x14ac:dyDescent="0.3">
      <c r="A39" t="s">
        <v>116</v>
      </c>
    </row>
    <row r="40" spans="1:1" x14ac:dyDescent="0.3">
      <c r="A40" t="s">
        <v>123</v>
      </c>
    </row>
    <row r="41" spans="1:1" x14ac:dyDescent="0.3">
      <c r="A41" t="s">
        <v>136</v>
      </c>
    </row>
  </sheetData>
  <dataConsolid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A3AAC-D6F3-47A4-B367-94ADB1214625}">
  <sheetPr codeName="Sheet7"/>
  <dimension ref="A1:N16"/>
  <sheetViews>
    <sheetView tabSelected="1" workbookViewId="0">
      <selection activeCell="F19" sqref="F19"/>
    </sheetView>
  </sheetViews>
  <sheetFormatPr defaultRowHeight="14.4" x14ac:dyDescent="0.3"/>
  <cols>
    <col min="1" max="1" width="17" customWidth="1"/>
    <col min="2" max="2" width="19.88671875" customWidth="1"/>
    <col min="3" max="3" width="7.21875" bestFit="1" customWidth="1"/>
    <col min="4" max="4" width="14.21875" bestFit="1" customWidth="1"/>
    <col min="5" max="5" width="11.5546875" bestFit="1" customWidth="1"/>
    <col min="6" max="6" width="12.21875" bestFit="1" customWidth="1"/>
    <col min="7" max="7" width="9.6640625" bestFit="1" customWidth="1"/>
    <col min="10" max="10" width="16.44140625" bestFit="1" customWidth="1"/>
  </cols>
  <sheetData>
    <row r="1" spans="1:14" x14ac:dyDescent="0.3">
      <c r="A1" t="s">
        <v>81</v>
      </c>
      <c r="B1" t="s">
        <v>71</v>
      </c>
      <c r="C1" t="s">
        <v>72</v>
      </c>
      <c r="D1" t="s">
        <v>73</v>
      </c>
      <c r="E1" t="s">
        <v>74</v>
      </c>
      <c r="F1" t="s">
        <v>75</v>
      </c>
      <c r="G1" t="s">
        <v>76</v>
      </c>
      <c r="H1" t="s">
        <v>89</v>
      </c>
      <c r="I1" t="s">
        <v>105</v>
      </c>
      <c r="J1" t="s">
        <v>103</v>
      </c>
      <c r="K1" t="s">
        <v>9</v>
      </c>
      <c r="M1" t="s">
        <v>70</v>
      </c>
      <c r="N1" t="s">
        <v>117</v>
      </c>
    </row>
    <row r="2" spans="1:14" x14ac:dyDescent="0.3">
      <c r="A2" t="s">
        <v>91</v>
      </c>
      <c r="B2">
        <v>16</v>
      </c>
      <c r="C2">
        <v>16</v>
      </c>
      <c r="D2">
        <v>11</v>
      </c>
      <c r="E2">
        <v>12</v>
      </c>
      <c r="F2">
        <v>17</v>
      </c>
      <c r="G2">
        <v>17</v>
      </c>
      <c r="H2">
        <v>11</v>
      </c>
      <c r="N2" t="s">
        <v>118</v>
      </c>
    </row>
    <row r="5" spans="1:14" x14ac:dyDescent="0.3">
      <c r="A5" t="s">
        <v>77</v>
      </c>
      <c r="B5" t="s">
        <v>88</v>
      </c>
    </row>
    <row r="6" spans="1:14" x14ac:dyDescent="0.3">
      <c r="A6" t="s">
        <v>78</v>
      </c>
      <c r="B6" t="s">
        <v>62</v>
      </c>
    </row>
    <row r="8" spans="1:14" x14ac:dyDescent="0.3">
      <c r="A8" t="s">
        <v>90</v>
      </c>
    </row>
    <row r="9" spans="1:14" x14ac:dyDescent="0.3">
      <c r="A9" s="4" t="s">
        <v>137</v>
      </c>
      <c r="B9" s="4"/>
      <c r="C9" s="4"/>
      <c r="D9" s="4"/>
      <c r="E9" s="4"/>
      <c r="F9" s="4"/>
      <c r="G9" s="4"/>
      <c r="H9" s="4"/>
      <c r="I9" s="4"/>
      <c r="J9" s="4"/>
      <c r="K9" s="4"/>
    </row>
    <row r="10" spans="1:14" x14ac:dyDescent="0.3">
      <c r="A10" s="4"/>
      <c r="B10" s="4"/>
      <c r="C10" s="4"/>
      <c r="D10" s="4"/>
      <c r="E10" s="4"/>
      <c r="F10" s="4"/>
      <c r="G10" s="4"/>
      <c r="H10" s="4"/>
      <c r="I10" s="4"/>
      <c r="J10" s="4"/>
      <c r="K10" s="4"/>
    </row>
    <row r="12" spans="1:14" x14ac:dyDescent="0.3">
      <c r="A12" t="s">
        <v>93</v>
      </c>
    </row>
    <row r="13" spans="1:14" x14ac:dyDescent="0.3">
      <c r="A13" t="s">
        <v>128</v>
      </c>
    </row>
    <row r="14" spans="1:14" x14ac:dyDescent="0.3">
      <c r="A14" t="s">
        <v>127</v>
      </c>
    </row>
    <row r="15" spans="1:14" x14ac:dyDescent="0.3">
      <c r="A15" t="s">
        <v>120</v>
      </c>
    </row>
    <row r="16" spans="1:14" x14ac:dyDescent="0.3">
      <c r="A16" t="s">
        <v>138</v>
      </c>
    </row>
  </sheetData>
  <dataConsolidate/>
  <mergeCells count="1">
    <mergeCell ref="A9:K10"/>
  </mergeCell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tnStart">
              <controlPr defaultSize="0" print="0" autoFill="0" autoPict="0" macro="[0]!StartGame">
                <anchor moveWithCells="1" sizeWithCells="1">
                  <from>
                    <xdr:col>1</xdr:col>
                    <xdr:colOff>2606040</xdr:colOff>
                    <xdr:row>2</xdr:row>
                    <xdr:rowOff>160020</xdr:rowOff>
                  </from>
                  <to>
                    <xdr:col>3</xdr:col>
                    <xdr:colOff>381000</xdr:colOff>
                    <xdr:row>4</xdr:row>
                    <xdr:rowOff>0</xdr:rowOff>
                  </to>
                </anchor>
              </controlPr>
            </control>
          </mc:Choice>
        </mc:AlternateContent>
        <mc:AlternateContent xmlns:mc="http://schemas.openxmlformats.org/markup-compatibility/2006">
          <mc:Choice Requires="x14">
            <control shapeId="6146" r:id="rId5" name="Button 2">
              <controlPr defaultSize="0" print="0" disabled="1" autoFill="0" autoPict="0" macro="[0]!TakeItems">
                <anchor moveWithCells="1" sizeWithCells="1">
                  <from>
                    <xdr:col>3</xdr:col>
                    <xdr:colOff>723900</xdr:colOff>
                    <xdr:row>2</xdr:row>
                    <xdr:rowOff>137160</xdr:rowOff>
                  </from>
                  <to>
                    <xdr:col>4</xdr:col>
                    <xdr:colOff>662940</xdr:colOff>
                    <xdr:row>4</xdr:row>
                    <xdr:rowOff>0</xdr:rowOff>
                  </to>
                </anchor>
              </controlPr>
            </control>
          </mc:Choice>
        </mc:AlternateContent>
        <mc:AlternateContent xmlns:mc="http://schemas.openxmlformats.org/markup-compatibility/2006">
          <mc:Choice Requires="x14">
            <control shapeId="6148" r:id="rId6" name="btnMove">
              <controlPr defaultSize="0" print="0" autoFill="0" autoPict="0" macro="[0]!MoveOn">
                <anchor moveWithCells="1" sizeWithCells="1">
                  <from>
                    <xdr:col>9</xdr:col>
                    <xdr:colOff>304800</xdr:colOff>
                    <xdr:row>2</xdr:row>
                    <xdr:rowOff>114300</xdr:rowOff>
                  </from>
                  <to>
                    <xdr:col>11</xdr:col>
                    <xdr:colOff>388620</xdr:colOff>
                    <xdr:row>4</xdr:row>
                    <xdr:rowOff>7620</xdr:rowOff>
                  </to>
                </anchor>
              </controlPr>
            </control>
          </mc:Choice>
        </mc:AlternateContent>
        <mc:AlternateContent xmlns:mc="http://schemas.openxmlformats.org/markup-compatibility/2006">
          <mc:Choice Requires="x14">
            <control shapeId="6149" r:id="rId7" name="btnAttack">
              <controlPr defaultSize="0" print="0" autoFill="0" autoPict="0" macro="[0]!Attack">
                <anchor moveWithCells="1" sizeWithCells="1">
                  <from>
                    <xdr:col>7</xdr:col>
                    <xdr:colOff>53340</xdr:colOff>
                    <xdr:row>2</xdr:row>
                    <xdr:rowOff>144780</xdr:rowOff>
                  </from>
                  <to>
                    <xdr:col>9</xdr:col>
                    <xdr:colOff>83820</xdr:colOff>
                    <xdr:row>4</xdr:row>
                    <xdr:rowOff>15240</xdr:rowOff>
                  </to>
                </anchor>
              </controlPr>
            </control>
          </mc:Choice>
        </mc:AlternateContent>
        <mc:AlternateContent xmlns:mc="http://schemas.openxmlformats.org/markup-compatibility/2006">
          <mc:Choice Requires="x14">
            <control shapeId="6150" r:id="rId8" name="btnRest">
              <controlPr defaultSize="0" print="0" autoFill="0" autoPict="0" macro="[0]!Rest">
                <anchor moveWithCells="1" sizeWithCells="1">
                  <from>
                    <xdr:col>7</xdr:col>
                    <xdr:colOff>76200</xdr:colOff>
                    <xdr:row>4</xdr:row>
                    <xdr:rowOff>137160</xdr:rowOff>
                  </from>
                  <to>
                    <xdr:col>9</xdr:col>
                    <xdr:colOff>91440</xdr:colOff>
                    <xdr:row>6</xdr:row>
                    <xdr:rowOff>30480</xdr:rowOff>
                  </to>
                </anchor>
              </controlPr>
            </control>
          </mc:Choice>
        </mc:AlternateContent>
        <mc:AlternateContent xmlns:mc="http://schemas.openxmlformats.org/markup-compatibility/2006">
          <mc:Choice Requires="x14">
            <control shapeId="6151" r:id="rId9" name="btnHeal">
              <controlPr defaultSize="0" print="0" autoFill="0" autoPict="0" macro="[0]!Heal">
                <anchor moveWithCells="1" sizeWithCells="1">
                  <from>
                    <xdr:col>9</xdr:col>
                    <xdr:colOff>403860</xdr:colOff>
                    <xdr:row>4</xdr:row>
                    <xdr:rowOff>167640</xdr:rowOff>
                  </from>
                  <to>
                    <xdr:col>11</xdr:col>
                    <xdr:colOff>594360</xdr:colOff>
                    <xdr:row>6</xdr:row>
                    <xdr:rowOff>68580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CD49F-6B48-4BB9-9F0D-0E0DEA655118}">
  <sheetPr codeName="Sheet9"/>
  <dimension ref="A1:K8"/>
  <sheetViews>
    <sheetView workbookViewId="0">
      <selection activeCell="I23" sqref="I23"/>
    </sheetView>
  </sheetViews>
  <sheetFormatPr defaultRowHeight="14.4" x14ac:dyDescent="0.3"/>
  <cols>
    <col min="1" max="1" width="15.44140625" bestFit="1" customWidth="1"/>
    <col min="2" max="2" width="8.88671875" style="1"/>
    <col min="10" max="10" width="16.44140625" bestFit="1" customWidth="1"/>
  </cols>
  <sheetData>
    <row r="1" spans="1:11" x14ac:dyDescent="0.3">
      <c r="A1" t="s">
        <v>94</v>
      </c>
      <c r="B1" s="1" t="s">
        <v>91</v>
      </c>
      <c r="E1" t="s">
        <v>101</v>
      </c>
      <c r="F1" t="s">
        <v>117</v>
      </c>
      <c r="J1" t="s">
        <v>103</v>
      </c>
      <c r="K1" t="s">
        <v>9</v>
      </c>
    </row>
    <row r="2" spans="1:11" x14ac:dyDescent="0.3">
      <c r="F2" t="s">
        <v>118</v>
      </c>
      <c r="J2" t="s">
        <v>104</v>
      </c>
    </row>
    <row r="3" spans="1:11" x14ac:dyDescent="0.3">
      <c r="A3" t="s">
        <v>97</v>
      </c>
      <c r="B3" s="2" t="s">
        <v>113</v>
      </c>
    </row>
    <row r="4" spans="1:11" x14ac:dyDescent="0.3">
      <c r="A4" t="s">
        <v>96</v>
      </c>
      <c r="B4" s="2" t="s">
        <v>121</v>
      </c>
    </row>
    <row r="5" spans="1:11" x14ac:dyDescent="0.3">
      <c r="A5" t="s">
        <v>95</v>
      </c>
      <c r="B5" s="2" t="s">
        <v>102</v>
      </c>
    </row>
    <row r="6" spans="1:11" x14ac:dyDescent="0.3">
      <c r="A6" t="s">
        <v>98</v>
      </c>
      <c r="B6" s="3" t="s">
        <v>114</v>
      </c>
    </row>
    <row r="7" spans="1:11" x14ac:dyDescent="0.3">
      <c r="A7" t="s">
        <v>99</v>
      </c>
      <c r="B7" s="3" t="s">
        <v>115</v>
      </c>
    </row>
    <row r="8" spans="1:11" x14ac:dyDescent="0.3">
      <c r="A8" t="s">
        <v>100</v>
      </c>
      <c r="B8" s="3" t="s">
        <v>115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3876F-1D4C-4C90-9373-54BAB07A61F2}">
  <sheetPr codeName="Sheet8"/>
  <dimension ref="A1:A26"/>
  <sheetViews>
    <sheetView workbookViewId="0">
      <selection activeCell="M7" sqref="M7"/>
    </sheetView>
  </sheetViews>
  <sheetFormatPr defaultRowHeight="14.4" x14ac:dyDescent="0.3"/>
  <cols>
    <col min="1" max="26" width="2.77734375" customWidth="1"/>
  </cols>
  <sheetData>
    <row r="1" ht="12" customHeight="1" x14ac:dyDescent="0.3"/>
    <row r="2" ht="12" customHeight="1" x14ac:dyDescent="0.3"/>
    <row r="3" ht="12" customHeight="1" x14ac:dyDescent="0.3"/>
    <row r="4" ht="12" customHeight="1" x14ac:dyDescent="0.3"/>
    <row r="5" ht="12" customHeight="1" x14ac:dyDescent="0.3"/>
    <row r="6" ht="12" customHeight="1" x14ac:dyDescent="0.3"/>
    <row r="7" ht="12" customHeight="1" x14ac:dyDescent="0.3"/>
    <row r="8" ht="12" customHeight="1" x14ac:dyDescent="0.3"/>
    <row r="9" ht="12" customHeight="1" x14ac:dyDescent="0.3"/>
    <row r="10" ht="12" customHeight="1" x14ac:dyDescent="0.3"/>
    <row r="11" ht="12" customHeight="1" x14ac:dyDescent="0.3"/>
    <row r="12" ht="12" customHeight="1" x14ac:dyDescent="0.3"/>
    <row r="13" ht="12" customHeight="1" x14ac:dyDescent="0.3"/>
    <row r="14" ht="12" customHeight="1" x14ac:dyDescent="0.3"/>
    <row r="15" ht="12" customHeight="1" x14ac:dyDescent="0.3"/>
    <row r="16" ht="12" customHeight="1" x14ac:dyDescent="0.3"/>
    <row r="17" ht="12" customHeight="1" x14ac:dyDescent="0.3"/>
    <row r="18" ht="12" customHeight="1" x14ac:dyDescent="0.3"/>
    <row r="19" ht="12" customHeight="1" x14ac:dyDescent="0.3"/>
    <row r="20" ht="12" customHeight="1" x14ac:dyDescent="0.3"/>
    <row r="21" ht="12" customHeight="1" x14ac:dyDescent="0.3"/>
    <row r="22" ht="12" customHeight="1" x14ac:dyDescent="0.3"/>
    <row r="23" ht="12" customHeight="1" x14ac:dyDescent="0.3"/>
    <row r="24" ht="12" customHeight="1" x14ac:dyDescent="0.3"/>
    <row r="25" ht="12" customHeight="1" x14ac:dyDescent="0.3"/>
    <row r="26" ht="12" customHeight="1" x14ac:dyDescent="0.3"/>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C55AB2-46C6-413D-9036-BBB374F102EB}">
  <sheetPr codeName="Sheet3"/>
  <dimension ref="A1:K6"/>
  <sheetViews>
    <sheetView workbookViewId="0">
      <selection activeCell="G2" sqref="G2"/>
    </sheetView>
  </sheetViews>
  <sheetFormatPr defaultRowHeight="14.4" x14ac:dyDescent="0.3"/>
  <cols>
    <col min="8" max="8" width="93" customWidth="1"/>
  </cols>
  <sheetData>
    <row r="1" spans="1:11" x14ac:dyDescent="0.3">
      <c r="A1" t="s">
        <v>28</v>
      </c>
      <c r="B1" t="s">
        <v>0</v>
      </c>
      <c r="C1" t="s">
        <v>1</v>
      </c>
      <c r="D1" t="s">
        <v>2</v>
      </c>
      <c r="E1" t="s">
        <v>3</v>
      </c>
      <c r="F1" t="s">
        <v>12</v>
      </c>
      <c r="G1" t="s">
        <v>28</v>
      </c>
      <c r="H1" t="s">
        <v>30</v>
      </c>
      <c r="I1" t="s">
        <v>39</v>
      </c>
      <c r="J1" t="s">
        <v>42</v>
      </c>
      <c r="K1" t="s">
        <v>43</v>
      </c>
    </row>
    <row r="2" spans="1:11" x14ac:dyDescent="0.3">
      <c r="A2">
        <v>1</v>
      </c>
      <c r="B2" t="s">
        <v>4</v>
      </c>
      <c r="C2">
        <v>10</v>
      </c>
      <c r="E2" t="s">
        <v>5</v>
      </c>
      <c r="F2" t="s">
        <v>24</v>
      </c>
      <c r="G2">
        <v>1</v>
      </c>
      <c r="H2" t="s">
        <v>37</v>
      </c>
      <c r="I2" t="s">
        <v>40</v>
      </c>
      <c r="J2">
        <v>3</v>
      </c>
      <c r="K2">
        <v>2</v>
      </c>
    </row>
    <row r="3" spans="1:11" x14ac:dyDescent="0.3">
      <c r="A3">
        <v>2</v>
      </c>
      <c r="B3" t="s">
        <v>16</v>
      </c>
      <c r="C3">
        <v>5</v>
      </c>
      <c r="E3" t="s">
        <v>17</v>
      </c>
      <c r="F3" t="s">
        <v>25</v>
      </c>
      <c r="G3">
        <v>2</v>
      </c>
      <c r="H3" t="s">
        <v>38</v>
      </c>
      <c r="I3" t="s">
        <v>41</v>
      </c>
      <c r="J3">
        <v>2</v>
      </c>
      <c r="K3">
        <v>4</v>
      </c>
    </row>
    <row r="4" spans="1:11" x14ac:dyDescent="0.3">
      <c r="A4">
        <v>3</v>
      </c>
      <c r="B4" t="s">
        <v>58</v>
      </c>
      <c r="C4">
        <v>5</v>
      </c>
      <c r="E4" t="s">
        <v>22</v>
      </c>
      <c r="F4" t="s">
        <v>59</v>
      </c>
      <c r="G4">
        <v>3</v>
      </c>
      <c r="H4" t="s">
        <v>60</v>
      </c>
      <c r="J4">
        <v>3</v>
      </c>
      <c r="K4">
        <v>3</v>
      </c>
    </row>
    <row r="5" spans="1:11" x14ac:dyDescent="0.3">
      <c r="A5">
        <v>4</v>
      </c>
      <c r="B5" t="s">
        <v>106</v>
      </c>
      <c r="C5">
        <v>15</v>
      </c>
      <c r="E5" t="s">
        <v>107</v>
      </c>
      <c r="F5" t="s">
        <v>108</v>
      </c>
      <c r="G5">
        <v>4</v>
      </c>
      <c r="H5" t="s">
        <v>109</v>
      </c>
      <c r="J5">
        <v>4</v>
      </c>
      <c r="K5">
        <v>3</v>
      </c>
    </row>
    <row r="6" spans="1:11" x14ac:dyDescent="0.3">
      <c r="A6">
        <v>5</v>
      </c>
      <c r="B6" t="s">
        <v>111</v>
      </c>
      <c r="C6">
        <v>18</v>
      </c>
      <c r="E6" t="s">
        <v>110</v>
      </c>
      <c r="F6" t="s">
        <v>108</v>
      </c>
      <c r="G6">
        <v>5</v>
      </c>
      <c r="H6" t="s">
        <v>112</v>
      </c>
      <c r="J6">
        <v>5</v>
      </c>
      <c r="K6">
        <v>5</v>
      </c>
    </row>
  </sheetData>
  <dataConsolidate/>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EAE15-CCE4-4294-84BF-49C20C108893}">
  <sheetPr codeName="Sheet2"/>
  <dimension ref="A1:L2"/>
  <sheetViews>
    <sheetView workbookViewId="0">
      <selection activeCell="J1" sqref="J1"/>
    </sheetView>
  </sheetViews>
  <sheetFormatPr defaultRowHeight="14.4" x14ac:dyDescent="0.3"/>
  <sheetData>
    <row r="1" spans="1:12" x14ac:dyDescent="0.3">
      <c r="A1" t="s">
        <v>0</v>
      </c>
      <c r="B1" t="s">
        <v>82</v>
      </c>
      <c r="C1" t="s">
        <v>6</v>
      </c>
      <c r="D1" t="s">
        <v>10</v>
      </c>
      <c r="E1" t="s">
        <v>8</v>
      </c>
      <c r="F1" t="s">
        <v>83</v>
      </c>
      <c r="G1" t="s">
        <v>84</v>
      </c>
      <c r="H1" t="s">
        <v>7</v>
      </c>
      <c r="I1" t="s">
        <v>11</v>
      </c>
      <c r="J1" t="s">
        <v>85</v>
      </c>
      <c r="K1" t="s">
        <v>86</v>
      </c>
      <c r="L1" t="s">
        <v>87</v>
      </c>
    </row>
    <row r="2" spans="1:12" x14ac:dyDescent="0.3">
      <c r="A2" t="s">
        <v>91</v>
      </c>
      <c r="B2">
        <v>20</v>
      </c>
      <c r="E2" t="s">
        <v>9</v>
      </c>
      <c r="F2">
        <v>12</v>
      </c>
      <c r="G2">
        <v>12</v>
      </c>
      <c r="H2" t="s">
        <v>9</v>
      </c>
      <c r="I2" t="s">
        <v>12</v>
      </c>
      <c r="J2">
        <v>20</v>
      </c>
      <c r="K2">
        <v>20</v>
      </c>
      <c r="L2">
        <v>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8CE97-3E12-41AD-AEAB-EBCD1EC80A62}">
  <sheetPr codeName="Sheet6"/>
  <dimension ref="A1:D33"/>
  <sheetViews>
    <sheetView workbookViewId="0">
      <selection activeCell="A10" sqref="A10"/>
    </sheetView>
  </sheetViews>
  <sheetFormatPr defaultRowHeight="14.4" x14ac:dyDescent="0.3"/>
  <cols>
    <col min="2" max="2" width="25.44140625" bestFit="1" customWidth="1"/>
    <col min="3" max="3" width="204.109375" bestFit="1" customWidth="1"/>
  </cols>
  <sheetData>
    <row r="1" spans="1:4" x14ac:dyDescent="0.3">
      <c r="A1" t="s">
        <v>27</v>
      </c>
      <c r="B1" t="s">
        <v>0</v>
      </c>
      <c r="C1" t="s">
        <v>30</v>
      </c>
      <c r="D1" t="s">
        <v>27</v>
      </c>
    </row>
    <row r="2" spans="1:4" x14ac:dyDescent="0.3">
      <c r="A2">
        <v>1</v>
      </c>
      <c r="B2" t="s">
        <v>55</v>
      </c>
      <c r="C2" t="s">
        <v>50</v>
      </c>
      <c r="D2">
        <v>1</v>
      </c>
    </row>
    <row r="3" spans="1:4" x14ac:dyDescent="0.3">
      <c r="A3">
        <v>2</v>
      </c>
      <c r="B3" t="s">
        <v>29</v>
      </c>
      <c r="C3" t="s">
        <v>51</v>
      </c>
      <c r="D3">
        <v>2</v>
      </c>
    </row>
    <row r="4" spans="1:4" x14ac:dyDescent="0.3">
      <c r="A4">
        <v>3</v>
      </c>
      <c r="B4" t="s">
        <v>31</v>
      </c>
      <c r="C4" t="s">
        <v>52</v>
      </c>
      <c r="D4">
        <v>3</v>
      </c>
    </row>
    <row r="5" spans="1:4" x14ac:dyDescent="0.3">
      <c r="A5">
        <v>4</v>
      </c>
      <c r="B5" t="s">
        <v>32</v>
      </c>
      <c r="C5" t="s">
        <v>57</v>
      </c>
      <c r="D5">
        <v>4</v>
      </c>
    </row>
    <row r="6" spans="1:4" x14ac:dyDescent="0.3">
      <c r="A6">
        <v>5</v>
      </c>
      <c r="B6" t="s">
        <v>33</v>
      </c>
      <c r="C6" t="s">
        <v>61</v>
      </c>
      <c r="D6">
        <v>5</v>
      </c>
    </row>
    <row r="7" spans="1:4" x14ac:dyDescent="0.3">
      <c r="A7">
        <v>6</v>
      </c>
      <c r="B7" t="s">
        <v>35</v>
      </c>
      <c r="C7" t="s">
        <v>64</v>
      </c>
      <c r="D7">
        <v>6</v>
      </c>
    </row>
    <row r="8" spans="1:4" x14ac:dyDescent="0.3">
      <c r="A8">
        <v>7</v>
      </c>
      <c r="B8" t="s">
        <v>36</v>
      </c>
      <c r="C8" t="s">
        <v>65</v>
      </c>
      <c r="D8">
        <v>7</v>
      </c>
    </row>
    <row r="9" spans="1:4" x14ac:dyDescent="0.3">
      <c r="A9">
        <v>8</v>
      </c>
      <c r="B9" t="s">
        <v>62</v>
      </c>
      <c r="C9" t="s">
        <v>63</v>
      </c>
      <c r="D9">
        <v>8</v>
      </c>
    </row>
    <row r="10" spans="1:4" x14ac:dyDescent="0.3">
      <c r="A10">
        <v>9</v>
      </c>
      <c r="B10" t="s">
        <v>34</v>
      </c>
      <c r="C10" t="s">
        <v>66</v>
      </c>
      <c r="D10">
        <v>9</v>
      </c>
    </row>
    <row r="33" spans="2:2" x14ac:dyDescent="0.3">
      <c r="B33" t="s">
        <v>56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F7F6B-456F-4EEE-BFF3-C87D5FBB57AF}">
  <sheetPr codeName="Sheet4"/>
  <dimension ref="A1:H65"/>
  <sheetViews>
    <sheetView workbookViewId="0">
      <selection activeCell="C7" sqref="C7"/>
    </sheetView>
  </sheetViews>
  <sheetFormatPr defaultRowHeight="14.4" x14ac:dyDescent="0.3"/>
  <cols>
    <col min="2" max="2" width="31.21875" bestFit="1" customWidth="1"/>
  </cols>
  <sheetData>
    <row r="1" spans="1:8" x14ac:dyDescent="0.3">
      <c r="A1" t="s">
        <v>26</v>
      </c>
      <c r="B1" t="s">
        <v>0</v>
      </c>
      <c r="C1" t="s">
        <v>2</v>
      </c>
      <c r="D1" t="s">
        <v>21</v>
      </c>
      <c r="E1" t="s">
        <v>46</v>
      </c>
      <c r="F1" t="s">
        <v>47</v>
      </c>
      <c r="G1" t="s">
        <v>54</v>
      </c>
      <c r="H1" t="s">
        <v>30</v>
      </c>
    </row>
    <row r="2" spans="1:8" x14ac:dyDescent="0.3">
      <c r="A2">
        <v>1</v>
      </c>
      <c r="B2" t="s">
        <v>9</v>
      </c>
      <c r="C2">
        <v>5</v>
      </c>
      <c r="D2">
        <v>2</v>
      </c>
      <c r="E2">
        <v>1</v>
      </c>
      <c r="F2">
        <v>0</v>
      </c>
      <c r="G2">
        <v>5</v>
      </c>
      <c r="H2" t="str">
        <f>"Does "&amp;C2&amp;" damage"</f>
        <v>Does 5 damage</v>
      </c>
    </row>
    <row r="3" spans="1:8" x14ac:dyDescent="0.3">
      <c r="A3">
        <v>2</v>
      </c>
      <c r="B3" t="s">
        <v>13</v>
      </c>
      <c r="C3">
        <v>4</v>
      </c>
      <c r="D3">
        <v>2</v>
      </c>
      <c r="E3">
        <v>5</v>
      </c>
      <c r="F3">
        <v>0</v>
      </c>
      <c r="G3">
        <v>6</v>
      </c>
      <c r="H3" t="str">
        <f>"Does "&amp;C3&amp;" damage"</f>
        <v>Does 4 damage</v>
      </c>
    </row>
    <row r="4" spans="1:8" x14ac:dyDescent="0.3">
      <c r="A4">
        <v>3</v>
      </c>
      <c r="B4" t="s">
        <v>14</v>
      </c>
      <c r="C4">
        <v>3</v>
      </c>
      <c r="D4">
        <v>2</v>
      </c>
      <c r="E4">
        <v>3</v>
      </c>
      <c r="F4">
        <v>0</v>
      </c>
      <c r="G4">
        <v>2</v>
      </c>
      <c r="H4" t="str">
        <f>"Does "&amp;C4&amp;" damage"</f>
        <v>Does 3 damage</v>
      </c>
    </row>
    <row r="5" spans="1:8" x14ac:dyDescent="0.3">
      <c r="A5">
        <v>4</v>
      </c>
      <c r="B5" t="s">
        <v>15</v>
      </c>
      <c r="C5">
        <v>2</v>
      </c>
      <c r="D5">
        <v>2</v>
      </c>
      <c r="E5">
        <v>2</v>
      </c>
      <c r="F5">
        <v>0</v>
      </c>
      <c r="G5">
        <v>0</v>
      </c>
      <c r="H5" t="str">
        <f t="shared" ref="H5:H8" si="0">"Does "&amp;C5&amp;" damage"</f>
        <v>Does 2 damage</v>
      </c>
    </row>
    <row r="6" spans="1:8" x14ac:dyDescent="0.3">
      <c r="A6">
        <v>5</v>
      </c>
      <c r="B6" t="s">
        <v>18</v>
      </c>
      <c r="C6">
        <v>1</v>
      </c>
      <c r="D6">
        <v>2</v>
      </c>
      <c r="E6">
        <v>2</v>
      </c>
      <c r="F6">
        <v>0</v>
      </c>
      <c r="G6">
        <v>0</v>
      </c>
      <c r="H6" t="str">
        <f t="shared" si="0"/>
        <v>Does 1 damage</v>
      </c>
    </row>
    <row r="7" spans="1:8" x14ac:dyDescent="0.3">
      <c r="A7">
        <v>6</v>
      </c>
      <c r="B7" t="s">
        <v>19</v>
      </c>
      <c r="C7">
        <v>4</v>
      </c>
      <c r="D7">
        <v>2</v>
      </c>
      <c r="E7">
        <v>3</v>
      </c>
      <c r="F7">
        <v>0</v>
      </c>
      <c r="G7">
        <v>5</v>
      </c>
      <c r="H7" t="str">
        <f t="shared" si="0"/>
        <v>Does 4 damage</v>
      </c>
    </row>
    <row r="8" spans="1:8" x14ac:dyDescent="0.3">
      <c r="A8">
        <v>7</v>
      </c>
      <c r="B8" t="s">
        <v>20</v>
      </c>
      <c r="C8">
        <v>3</v>
      </c>
      <c r="D8">
        <v>2</v>
      </c>
      <c r="E8">
        <v>2</v>
      </c>
      <c r="F8">
        <v>0</v>
      </c>
      <c r="G8">
        <v>2</v>
      </c>
      <c r="H8" t="str">
        <f t="shared" si="0"/>
        <v>Does 3 damage</v>
      </c>
    </row>
    <row r="9" spans="1:8" x14ac:dyDescent="0.3">
      <c r="A9">
        <v>8</v>
      </c>
      <c r="B9" t="s">
        <v>22</v>
      </c>
      <c r="C9">
        <v>-3</v>
      </c>
      <c r="D9">
        <v>3</v>
      </c>
      <c r="E9">
        <v>0</v>
      </c>
      <c r="F9">
        <v>0</v>
      </c>
      <c r="G9">
        <v>4</v>
      </c>
      <c r="H9" t="str">
        <f>"Heals " &amp; C9*-1 &amp; " health"</f>
        <v>Heals 3 health</v>
      </c>
    </row>
    <row r="10" spans="1:8" x14ac:dyDescent="0.3">
      <c r="A10">
        <v>9</v>
      </c>
      <c r="B10" t="s">
        <v>23</v>
      </c>
      <c r="C10">
        <v>-5</v>
      </c>
      <c r="D10">
        <v>3</v>
      </c>
      <c r="E10">
        <v>0</v>
      </c>
      <c r="F10">
        <v>0</v>
      </c>
      <c r="G10">
        <v>2</v>
      </c>
      <c r="H10" t="str">
        <f>"Heals " &amp; C10*-1 &amp; " health"</f>
        <v>Heals 5 health</v>
      </c>
    </row>
    <row r="11" spans="1:8" x14ac:dyDescent="0.3">
      <c r="A11">
        <v>10</v>
      </c>
      <c r="B11" t="s">
        <v>24</v>
      </c>
      <c r="C11">
        <v>4</v>
      </c>
      <c r="D11">
        <v>2</v>
      </c>
      <c r="E11">
        <v>1</v>
      </c>
      <c r="F11">
        <v>0</v>
      </c>
      <c r="G11">
        <v>0</v>
      </c>
      <c r="H11" t="str">
        <f t="shared" ref="H11:H12" si="1">"Does "&amp;C11&amp;" damage"</f>
        <v>Does 4 damage</v>
      </c>
    </row>
    <row r="12" spans="1:8" x14ac:dyDescent="0.3">
      <c r="A12">
        <v>11</v>
      </c>
      <c r="B12" t="s">
        <v>25</v>
      </c>
      <c r="C12">
        <v>3</v>
      </c>
      <c r="D12">
        <v>2</v>
      </c>
      <c r="E12">
        <v>1</v>
      </c>
      <c r="F12">
        <v>0</v>
      </c>
      <c r="G12">
        <v>0</v>
      </c>
      <c r="H12" t="str">
        <f t="shared" si="1"/>
        <v>Does 3 damage</v>
      </c>
    </row>
    <row r="13" spans="1:8" x14ac:dyDescent="0.3">
      <c r="A13">
        <v>12</v>
      </c>
      <c r="B13" t="s">
        <v>5</v>
      </c>
      <c r="C13">
        <v>0</v>
      </c>
      <c r="D13">
        <v>1</v>
      </c>
      <c r="E13">
        <v>0</v>
      </c>
      <c r="F13">
        <v>0</v>
      </c>
      <c r="G13">
        <v>10</v>
      </c>
    </row>
    <row r="14" spans="1:8" x14ac:dyDescent="0.3">
      <c r="A14">
        <v>13</v>
      </c>
      <c r="B14" t="s">
        <v>17</v>
      </c>
      <c r="C14">
        <v>0</v>
      </c>
      <c r="D14">
        <v>1</v>
      </c>
      <c r="E14">
        <v>0</v>
      </c>
      <c r="F14">
        <v>0</v>
      </c>
      <c r="G14">
        <v>5</v>
      </c>
    </row>
    <row r="15" spans="1:8" x14ac:dyDescent="0.3">
      <c r="A15">
        <v>14</v>
      </c>
      <c r="B15" t="s">
        <v>44</v>
      </c>
      <c r="C15">
        <v>10</v>
      </c>
      <c r="D15">
        <v>4</v>
      </c>
      <c r="E15">
        <v>0</v>
      </c>
      <c r="F15">
        <v>5</v>
      </c>
      <c r="G15">
        <v>10</v>
      </c>
      <c r="H15" t="str">
        <f t="shared" ref="H15" si="2">"Does "&amp;C15&amp;" damage"</f>
        <v>Does 10 damage</v>
      </c>
    </row>
    <row r="16" spans="1:8" x14ac:dyDescent="0.3">
      <c r="A16">
        <v>15</v>
      </c>
      <c r="B16" t="s">
        <v>45</v>
      </c>
      <c r="C16">
        <v>-5</v>
      </c>
      <c r="D16">
        <v>4</v>
      </c>
      <c r="E16">
        <v>0</v>
      </c>
      <c r="F16">
        <v>3</v>
      </c>
      <c r="G16">
        <v>10</v>
      </c>
      <c r="H16" t="str">
        <f>"Heals " &amp; C16*-1 &amp; " health"</f>
        <v>Heals 5 health</v>
      </c>
    </row>
    <row r="17" spans="1:8" x14ac:dyDescent="0.3">
      <c r="A17">
        <v>16</v>
      </c>
      <c r="B17" t="s">
        <v>49</v>
      </c>
      <c r="C17">
        <v>0</v>
      </c>
      <c r="D17">
        <v>5</v>
      </c>
      <c r="E17">
        <v>0</v>
      </c>
      <c r="F17">
        <v>0</v>
      </c>
      <c r="G17">
        <v>0</v>
      </c>
    </row>
    <row r="18" spans="1:8" x14ac:dyDescent="0.3">
      <c r="A18">
        <v>17</v>
      </c>
      <c r="B18" t="s">
        <v>53</v>
      </c>
      <c r="C18">
        <v>10</v>
      </c>
      <c r="D18">
        <v>4</v>
      </c>
      <c r="E18">
        <v>0</v>
      </c>
      <c r="F18">
        <v>10</v>
      </c>
      <c r="G18">
        <v>10</v>
      </c>
      <c r="H18" t="str">
        <f t="shared" ref="H18" si="3">"Does "&amp;C18&amp;" damage"</f>
        <v>Does 10 damage</v>
      </c>
    </row>
    <row r="19" spans="1:8" x14ac:dyDescent="0.3">
      <c r="A19">
        <v>18</v>
      </c>
      <c r="B19" t="s">
        <v>59</v>
      </c>
      <c r="C19">
        <v>5</v>
      </c>
      <c r="D19">
        <v>2</v>
      </c>
      <c r="E19">
        <v>1</v>
      </c>
      <c r="F19">
        <v>0</v>
      </c>
      <c r="G19">
        <v>0</v>
      </c>
      <c r="H19" t="str">
        <f t="shared" ref="H19:H20" si="4">"Does "&amp;C19&amp;" damage"</f>
        <v>Does 5 damage</v>
      </c>
    </row>
    <row r="20" spans="1:8" x14ac:dyDescent="0.3">
      <c r="A20">
        <v>19</v>
      </c>
      <c r="B20" t="s">
        <v>108</v>
      </c>
      <c r="C20">
        <v>6</v>
      </c>
      <c r="D20">
        <v>2</v>
      </c>
      <c r="E20">
        <v>2</v>
      </c>
      <c r="F20">
        <v>0</v>
      </c>
      <c r="G20">
        <v>2</v>
      </c>
      <c r="H20" t="str">
        <f t="shared" si="4"/>
        <v>Does 6 damage</v>
      </c>
    </row>
    <row r="21" spans="1:8" x14ac:dyDescent="0.3">
      <c r="A21">
        <v>20</v>
      </c>
      <c r="B21" t="s">
        <v>107</v>
      </c>
      <c r="C21">
        <v>0</v>
      </c>
      <c r="D21">
        <v>1</v>
      </c>
      <c r="E21">
        <v>0</v>
      </c>
      <c r="F21">
        <v>0</v>
      </c>
      <c r="G21">
        <v>15</v>
      </c>
    </row>
    <row r="22" spans="1:8" x14ac:dyDescent="0.3">
      <c r="A22">
        <v>21</v>
      </c>
      <c r="B22" t="s">
        <v>110</v>
      </c>
      <c r="C22">
        <v>0</v>
      </c>
      <c r="D22">
        <v>1</v>
      </c>
      <c r="E22">
        <v>0</v>
      </c>
      <c r="F22">
        <v>0</v>
      </c>
      <c r="G22">
        <v>20</v>
      </c>
    </row>
    <row r="65" spans="2:2" x14ac:dyDescent="0.3">
      <c r="B65" t="s">
        <v>48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CC1F2EB5741AB43BA1F46423EEFF3B5" ma:contentTypeVersion="12" ma:contentTypeDescription="Create a new document." ma:contentTypeScope="" ma:versionID="0899c5985b8c2bdd045aef4f9b989203">
  <xsd:schema xmlns:xsd="http://www.w3.org/2001/XMLSchema" xmlns:xs="http://www.w3.org/2001/XMLSchema" xmlns:p="http://schemas.microsoft.com/office/2006/metadata/properties" xmlns:ns3="d674c22a-ea5a-4691-94f9-50695bb57d48" xmlns:ns4="8558acbf-ccfd-4cc4-a1a2-c99823379a45" targetNamespace="http://schemas.microsoft.com/office/2006/metadata/properties" ma:root="true" ma:fieldsID="db381cc971ffb3ec12bda85f5d90538a" ns3:_="" ns4:_="">
    <xsd:import namespace="d674c22a-ea5a-4691-94f9-50695bb57d48"/>
    <xsd:import namespace="8558acbf-ccfd-4cc4-a1a2-c99823379a45"/>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674c22a-ea5a-4691-94f9-50695bb57d4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558acbf-ccfd-4cc4-a1a2-c99823379a45"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element name="SharingHintHash" ma:index="17"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B57DDD6-EF42-4F8F-A9F7-F99CABC5A2C1}">
  <ds:schemaRefs>
    <ds:schemaRef ds:uri="http://schemas.microsoft.com/sharepoint/v3/contenttype/forms"/>
  </ds:schemaRefs>
</ds:datastoreItem>
</file>

<file path=customXml/itemProps2.xml><?xml version="1.0" encoding="utf-8"?>
<ds:datastoreItem xmlns:ds="http://schemas.openxmlformats.org/officeDocument/2006/customXml" ds:itemID="{C6650E2B-BB1F-494E-8A00-6C4A8FB377D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674c22a-ea5a-4691-94f9-50695bb57d48"/>
    <ds:schemaRef ds:uri="8558acbf-ccfd-4cc4-a1a2-c99823379a4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EF812AE-F06A-4081-8355-08F82D6598C1}">
  <ds:schemaRefs>
    <ds:schemaRef ds:uri="http://purl.org/dc/elements/1.1/"/>
    <ds:schemaRef ds:uri="http://schemas.microsoft.com/office/2006/metadata/properties"/>
    <ds:schemaRef ds:uri="8558acbf-ccfd-4cc4-a1a2-c99823379a45"/>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d674c22a-ea5a-4691-94f9-50695bb57d48"/>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Log</vt:lpstr>
      <vt:lpstr>PlayScreen</vt:lpstr>
      <vt:lpstr>CharacterSheet</vt:lpstr>
      <vt:lpstr>WorldMap</vt:lpstr>
      <vt:lpstr>NPCs</vt:lpstr>
      <vt:lpstr>PlayerSheet</vt:lpstr>
      <vt:lpstr>Rooms</vt:lpstr>
      <vt:lpstr>Items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Guillaume Ruette</dc:creator>
  <cp:lastModifiedBy>Guillaume Ruette</cp:lastModifiedBy>
  <dcterms:created xsi:type="dcterms:W3CDTF">2020-05-05T10:41:33Z</dcterms:created>
  <dcterms:modified xsi:type="dcterms:W3CDTF">2020-05-21T20:45:32Z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0x0101009CC1F2EB5741AB43BA1F46423EEFF3B5</vt:lpwstr>
  </property>
</Properties>
</file>